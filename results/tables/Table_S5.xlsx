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ositive_mode" sheetId="2" state="visible" r:id="rId2"/>
    <sheet name="Negative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b val="1"/>
      <sz val="11"/>
    </font>
    <font>
      <name val="Arial"/>
      <i val="1"/>
      <sz val="10"/>
    </font>
    <font>
      <name val="Arial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AEAE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left" vertical="bottom" wrapText="1"/>
    </xf>
    <xf numFmtId="0" fontId="2" fillId="3" borderId="1" applyAlignment="1" pivotButton="0" quotePrefix="0" xfId="0">
      <alignment horizontal="center" vertical="bottom" wrapText="1"/>
    </xf>
    <xf numFmtId="0" fontId="5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2" t="inlineStr">
        <is>
          <t>Supplementary Table S5. Per-phylum biomarker counts by polarity and annotation tier (strict release)</t>
        </is>
      </c>
    </row>
    <row r="2">
      <c r="A2" s="3" t="inlineStr"/>
    </row>
    <row r="3">
      <c r="A3" s="3" t="inlineStr">
        <is>
          <t>Positive mode: 11,371 biomarkers across 16 analysis phyla. Negative mode: 5,697 biomarkers across 16 phyla.</t>
        </is>
      </c>
    </row>
    <row r="4">
      <c r="A4" s="3" t="inlineStr"/>
    </row>
    <row r="5">
      <c r="A5" s="3" t="inlineStr">
        <is>
          <t>Annotation tiers: Gold = molecular-species annotation; Silver = sum composition or partial structure; Bronze = lipid-class level; Unidentified = no structural annotation. Silver appears only where the release supports it (the two archaeal phyla, positive mode); negative mode has no Silver tier.</t>
        </is>
      </c>
    </row>
    <row r="6">
      <c r="A6" s="3" t="inlineStr"/>
    </row>
    <row r="7">
      <c r="A7" s="3" t="inlineStr">
        <is>
          <t>Source: the strict biomarker set in annotation_evidence_pos.csv and annotation_evidence_neg.csv - the same features Figure 2 and Supplementary Figure 7 are built from. Per-phylum, per-tier counts reproduce annotation/tier_counts.csv exactly, and the totals match the release feature counts (11,371 POS, 5,697 NEG).</t>
        </is>
      </c>
    </row>
    <row r="8">
      <c r="A8" s="3" t="inlineStr"/>
    </row>
    <row r="9">
      <c r="A9" s="3" t="inlineStr">
        <is>
          <t>This is a fresh strict discovery, NOT a relabel of the submitted table (which counted 10,454 POS / 5,741 NEG over the pre-correction 21 / 23 phyla). Relabelling was shown to be invalid: two of three merged units would have been overstated roughly threefold, because a biomarker is defined by contrast against a background and merging changes that background. The strict Streptophyta count (5,168 POS) versus a legacy land-plant sum of 1,554 shows why a fresh discovery, not a sum, is required.</t>
        </is>
      </c>
    </row>
    <row r="10">
      <c r="A10" s="3" t="inlineStr"/>
    </row>
    <row r="11">
      <c r="A11" s="3" t="inlineStr">
        <is>
          <t>Kingdom labels use the locked policy's ecological_group naming (Viridiplantae, Protists). The two source files disagreed - the positive file already used these, the negative file still carried Plantae / Protozoa - and are reconciled here.</t>
        </is>
      </c>
    </row>
    <row r="12">
      <c r="A12" s="3" t="inlineStr"/>
    </row>
    <row r="13">
      <c r="A13" s="3" t="inlineStr">
        <is>
          <t>Taxonomy release: ncbi-phylum-2026-08-04-v1 (locked). Producer: paper2_repro/scripts/build_table_s5_strict16.py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>
      <c r="A1" s="4" t="inlineStr">
        <is>
          <t>Supplementary Table S5a. Positive-mode biomarker counts (11,371 biomarkers, 16 analysis phyla)</t>
        </is>
      </c>
    </row>
    <row r="2">
      <c r="A2" s="5" t="inlineStr">
        <is>
          <t>Strict release biomarker set (indval_consensus + composite discovery), by annotation tier.</t>
        </is>
      </c>
    </row>
    <row r="4">
      <c r="A4" s="6" t="inlineStr">
        <is>
          <t>Phylum</t>
        </is>
      </c>
      <c r="B4" s="6" t="inlineStr">
        <is>
          <t>Kingdom</t>
        </is>
      </c>
      <c r="C4" s="7" t="inlineStr">
        <is>
          <t>Gold</t>
        </is>
      </c>
      <c r="D4" s="7" t="inlineStr">
        <is>
          <t>Silver</t>
        </is>
      </c>
      <c r="E4" s="7" t="inlineStr">
        <is>
          <t>Bronze</t>
        </is>
      </c>
      <c r="F4" s="7" t="inlineStr">
        <is>
          <t>Unidentified</t>
        </is>
      </c>
      <c r="G4" s="7" t="inlineStr">
        <is>
          <t>Total</t>
        </is>
      </c>
      <c r="H4" s="7" t="inlineStr">
        <is>
          <t>Gold+Silver</t>
        </is>
      </c>
      <c r="I4" s="7" t="inlineStr">
        <is>
          <t>Annotated</t>
        </is>
      </c>
      <c r="J4" s="7" t="inlineStr">
        <is>
          <t>Annotated %</t>
        </is>
      </c>
    </row>
    <row r="5">
      <c r="A5" s="8" t="inlineStr">
        <is>
          <t>Arthropoda</t>
        </is>
      </c>
      <c r="B5" s="8" t="inlineStr">
        <is>
          <t>Animalia</t>
        </is>
      </c>
      <c r="C5" s="8" t="n">
        <v>5</v>
      </c>
      <c r="D5" s="8" t="n">
        <v>0</v>
      </c>
      <c r="E5" s="8" t="n">
        <v>140</v>
      </c>
      <c r="F5" s="8" t="n">
        <v>237</v>
      </c>
      <c r="G5" s="8" t="n">
        <v>382</v>
      </c>
      <c r="H5" s="8" t="n">
        <v>5</v>
      </c>
      <c r="I5" s="8" t="n">
        <v>145</v>
      </c>
      <c r="J5" s="8" t="n">
        <v>38</v>
      </c>
    </row>
    <row r="6">
      <c r="A6" s="8" t="inlineStr">
        <is>
          <t>Mollusca</t>
        </is>
      </c>
      <c r="B6" s="8" t="inlineStr">
        <is>
          <t>Animalia</t>
        </is>
      </c>
      <c r="C6" s="8" t="n">
        <v>0</v>
      </c>
      <c r="D6" s="8" t="n">
        <v>0</v>
      </c>
      <c r="E6" s="8" t="n">
        <v>61</v>
      </c>
      <c r="F6" s="8" t="n">
        <v>394</v>
      </c>
      <c r="G6" s="8" t="n">
        <v>455</v>
      </c>
      <c r="H6" s="8" t="n">
        <v>0</v>
      </c>
      <c r="I6" s="8" t="n">
        <v>61</v>
      </c>
      <c r="J6" s="8" t="n">
        <v>13.4</v>
      </c>
    </row>
    <row r="7">
      <c r="A7" s="8" t="inlineStr">
        <is>
          <t>Nematoda</t>
        </is>
      </c>
      <c r="B7" s="8" t="inlineStr">
        <is>
          <t>Animalia</t>
        </is>
      </c>
      <c r="C7" s="8" t="n">
        <v>4</v>
      </c>
      <c r="D7" s="8" t="n">
        <v>0</v>
      </c>
      <c r="E7" s="8" t="n">
        <v>148</v>
      </c>
      <c r="F7" s="8" t="n">
        <v>270</v>
      </c>
      <c r="G7" s="8" t="n">
        <v>422</v>
      </c>
      <c r="H7" s="8" t="n">
        <v>4</v>
      </c>
      <c r="I7" s="8" t="n">
        <v>152</v>
      </c>
      <c r="J7" s="8" t="n">
        <v>36</v>
      </c>
    </row>
    <row r="8">
      <c r="A8" s="8" t="inlineStr">
        <is>
          <t>Methanobacteriota</t>
        </is>
      </c>
      <c r="B8" s="8" t="inlineStr">
        <is>
          <t>Archaea</t>
        </is>
      </c>
      <c r="C8" s="8" t="n">
        <v>213</v>
      </c>
      <c r="D8" s="8" t="n">
        <v>90</v>
      </c>
      <c r="E8" s="8" t="n">
        <v>164</v>
      </c>
      <c r="F8" s="8" t="n">
        <v>550</v>
      </c>
      <c r="G8" s="8" t="n">
        <v>1017</v>
      </c>
      <c r="H8" s="8" t="n">
        <v>303</v>
      </c>
      <c r="I8" s="8" t="n">
        <v>467</v>
      </c>
      <c r="J8" s="8" t="n">
        <v>45.9</v>
      </c>
    </row>
    <row r="9">
      <c r="A9" s="8" t="inlineStr">
        <is>
          <t>Thermoproteota</t>
        </is>
      </c>
      <c r="B9" s="8" t="inlineStr">
        <is>
          <t>Archaea</t>
        </is>
      </c>
      <c r="C9" s="8" t="n">
        <v>47</v>
      </c>
      <c r="D9" s="8" t="n">
        <v>29</v>
      </c>
      <c r="E9" s="8" t="n">
        <v>70</v>
      </c>
      <c r="F9" s="8" t="n">
        <v>170</v>
      </c>
      <c r="G9" s="8" t="n">
        <v>316</v>
      </c>
      <c r="H9" s="8" t="n">
        <v>76</v>
      </c>
      <c r="I9" s="8" t="n">
        <v>146</v>
      </c>
      <c r="J9" s="8" t="n">
        <v>46.2</v>
      </c>
    </row>
    <row r="10">
      <c r="A10" s="8" t="inlineStr">
        <is>
          <t>Actinomycetota</t>
        </is>
      </c>
      <c r="B10" s="8" t="inlineStr">
        <is>
          <t>Bacteria</t>
        </is>
      </c>
      <c r="C10" s="8" t="n">
        <v>63</v>
      </c>
      <c r="D10" s="8" t="n">
        <v>0</v>
      </c>
      <c r="E10" s="8" t="n">
        <v>117</v>
      </c>
      <c r="F10" s="8" t="n">
        <v>94</v>
      </c>
      <c r="G10" s="8" t="n">
        <v>274</v>
      </c>
      <c r="H10" s="8" t="n">
        <v>63</v>
      </c>
      <c r="I10" s="8" t="n">
        <v>180</v>
      </c>
      <c r="J10" s="8" t="n">
        <v>65.7</v>
      </c>
    </row>
    <row r="11">
      <c r="A11" s="8" t="inlineStr">
        <is>
          <t>Bacillota</t>
        </is>
      </c>
      <c r="B11" s="8" t="inlineStr">
        <is>
          <t>Bacteria</t>
        </is>
      </c>
      <c r="C11" s="8" t="n">
        <v>169</v>
      </c>
      <c r="D11" s="8" t="n">
        <v>0</v>
      </c>
      <c r="E11" s="8" t="n">
        <v>279</v>
      </c>
      <c r="F11" s="8" t="n">
        <v>573</v>
      </c>
      <c r="G11" s="8" t="n">
        <v>1021</v>
      </c>
      <c r="H11" s="8" t="n">
        <v>169</v>
      </c>
      <c r="I11" s="8" t="n">
        <v>448</v>
      </c>
      <c r="J11" s="8" t="n">
        <v>43.9</v>
      </c>
    </row>
    <row r="12">
      <c r="A12" s="8" t="inlineStr">
        <is>
          <t>Pseudomonadota</t>
        </is>
      </c>
      <c r="B12" s="8" t="inlineStr">
        <is>
          <t>Bacteria</t>
        </is>
      </c>
      <c r="C12" s="8" t="n">
        <v>103</v>
      </c>
      <c r="D12" s="8" t="n">
        <v>0</v>
      </c>
      <c r="E12" s="8" t="n">
        <v>135</v>
      </c>
      <c r="F12" s="8" t="n">
        <v>175</v>
      </c>
      <c r="G12" s="8" t="n">
        <v>413</v>
      </c>
      <c r="H12" s="8" t="n">
        <v>103</v>
      </c>
      <c r="I12" s="8" t="n">
        <v>238</v>
      </c>
      <c r="J12" s="8" t="n">
        <v>57.6</v>
      </c>
    </row>
    <row r="13">
      <c r="A13" s="8" t="inlineStr">
        <is>
          <t>Ascomycota</t>
        </is>
      </c>
      <c r="B13" s="8" t="inlineStr">
        <is>
          <t>Fungi</t>
        </is>
      </c>
      <c r="C13" s="8" t="n">
        <v>13</v>
      </c>
      <c r="D13" s="8" t="n">
        <v>0</v>
      </c>
      <c r="E13" s="8" t="n">
        <v>118</v>
      </c>
      <c r="F13" s="8" t="n">
        <v>130</v>
      </c>
      <c r="G13" s="8" t="n">
        <v>261</v>
      </c>
      <c r="H13" s="8" t="n">
        <v>13</v>
      </c>
      <c r="I13" s="8" t="n">
        <v>131</v>
      </c>
      <c r="J13" s="8" t="n">
        <v>50.2</v>
      </c>
    </row>
    <row r="14">
      <c r="A14" s="8" t="inlineStr">
        <is>
          <t>Basidiomycota</t>
        </is>
      </c>
      <c r="B14" s="8" t="inlineStr">
        <is>
          <t>Fungi</t>
        </is>
      </c>
      <c r="C14" s="8" t="n">
        <v>54</v>
      </c>
      <c r="D14" s="8" t="n">
        <v>0</v>
      </c>
      <c r="E14" s="8" t="n">
        <v>204</v>
      </c>
      <c r="F14" s="8" t="n">
        <v>183</v>
      </c>
      <c r="G14" s="8" t="n">
        <v>441</v>
      </c>
      <c r="H14" s="8" t="n">
        <v>54</v>
      </c>
      <c r="I14" s="8" t="n">
        <v>258</v>
      </c>
      <c r="J14" s="8" t="n">
        <v>58.5</v>
      </c>
    </row>
    <row r="15">
      <c r="A15" s="8" t="inlineStr">
        <is>
          <t>Mucoromycota</t>
        </is>
      </c>
      <c r="B15" s="8" t="inlineStr">
        <is>
          <t>Fungi</t>
        </is>
      </c>
      <c r="C15" s="8" t="n">
        <v>1</v>
      </c>
      <c r="D15" s="8" t="n">
        <v>0</v>
      </c>
      <c r="E15" s="8" t="n">
        <v>12</v>
      </c>
      <c r="F15" s="8" t="n">
        <v>19</v>
      </c>
      <c r="G15" s="8" t="n">
        <v>32</v>
      </c>
      <c r="H15" s="8" t="n">
        <v>1</v>
      </c>
      <c r="I15" s="8" t="n">
        <v>13</v>
      </c>
      <c r="J15" s="8" t="n">
        <v>40.6</v>
      </c>
    </row>
    <row r="16">
      <c r="A16" s="8" t="inlineStr">
        <is>
          <t>Discosea</t>
        </is>
      </c>
      <c r="B16" s="8" t="inlineStr">
        <is>
          <t>Protists</t>
        </is>
      </c>
      <c r="C16" s="8" t="n">
        <v>13</v>
      </c>
      <c r="D16" s="8" t="n">
        <v>0</v>
      </c>
      <c r="E16" s="8" t="n">
        <v>8</v>
      </c>
      <c r="F16" s="8" t="n">
        <v>14</v>
      </c>
      <c r="G16" s="8" t="n">
        <v>35</v>
      </c>
      <c r="H16" s="8" t="n">
        <v>13</v>
      </c>
      <c r="I16" s="8" t="n">
        <v>21</v>
      </c>
      <c r="J16" s="8" t="n">
        <v>60</v>
      </c>
    </row>
    <row r="17">
      <c r="A17" s="8" t="inlineStr">
        <is>
          <t>Evosea</t>
        </is>
      </c>
      <c r="B17" s="8" t="inlineStr">
        <is>
          <t>Protists</t>
        </is>
      </c>
      <c r="C17" s="8" t="n">
        <v>27</v>
      </c>
      <c r="D17" s="8" t="n">
        <v>0</v>
      </c>
      <c r="E17" s="8" t="n">
        <v>325</v>
      </c>
      <c r="F17" s="8" t="n">
        <v>298</v>
      </c>
      <c r="G17" s="8" t="n">
        <v>650</v>
      </c>
      <c r="H17" s="8" t="n">
        <v>27</v>
      </c>
      <c r="I17" s="8" t="n">
        <v>352</v>
      </c>
      <c r="J17" s="8" t="n">
        <v>54.2</v>
      </c>
    </row>
    <row r="18">
      <c r="A18" s="8" t="inlineStr">
        <is>
          <t>Heterolobosea</t>
        </is>
      </c>
      <c r="B18" s="8" t="inlineStr">
        <is>
          <t>Protists</t>
        </is>
      </c>
      <c r="C18" s="8" t="n">
        <v>0</v>
      </c>
      <c r="D18" s="8" t="n">
        <v>0</v>
      </c>
      <c r="E18" s="8" t="n">
        <v>23</v>
      </c>
      <c r="F18" s="8" t="n">
        <v>8</v>
      </c>
      <c r="G18" s="8" t="n">
        <v>31</v>
      </c>
      <c r="H18" s="8" t="n">
        <v>0</v>
      </c>
      <c r="I18" s="8" t="n">
        <v>23</v>
      </c>
      <c r="J18" s="8" t="n">
        <v>74.2</v>
      </c>
    </row>
    <row r="19">
      <c r="A19" s="8" t="inlineStr">
        <is>
          <t>Chlorophyta</t>
        </is>
      </c>
      <c r="B19" s="8" t="inlineStr">
        <is>
          <t>Viridiplantae</t>
        </is>
      </c>
      <c r="C19" s="8" t="n">
        <v>10</v>
      </c>
      <c r="D19" s="8" t="n">
        <v>0</v>
      </c>
      <c r="E19" s="8" t="n">
        <v>73</v>
      </c>
      <c r="F19" s="8" t="n">
        <v>370</v>
      </c>
      <c r="G19" s="8" t="n">
        <v>453</v>
      </c>
      <c r="H19" s="8" t="n">
        <v>10</v>
      </c>
      <c r="I19" s="8" t="n">
        <v>83</v>
      </c>
      <c r="J19" s="8" t="n">
        <v>18.3</v>
      </c>
    </row>
    <row r="20">
      <c r="A20" s="8" t="inlineStr">
        <is>
          <t>Streptophyta</t>
        </is>
      </c>
      <c r="B20" s="8" t="inlineStr">
        <is>
          <t>Viridiplantae</t>
        </is>
      </c>
      <c r="C20" s="8" t="n">
        <v>827</v>
      </c>
      <c r="D20" s="8" t="n">
        <v>0</v>
      </c>
      <c r="E20" s="8" t="n">
        <v>2815</v>
      </c>
      <c r="F20" s="8" t="n">
        <v>1526</v>
      </c>
      <c r="G20" s="8" t="n">
        <v>5168</v>
      </c>
      <c r="H20" s="8" t="n">
        <v>827</v>
      </c>
      <c r="I20" s="8" t="n">
        <v>3642</v>
      </c>
      <c r="J20" s="8" t="n">
        <v>70.5</v>
      </c>
    </row>
    <row r="21">
      <c r="A21" s="9" t="inlineStr">
        <is>
          <t>TOTAL</t>
        </is>
      </c>
      <c r="B21" s="10" t="n"/>
      <c r="C21" s="9">
        <f>SUM(C5:C20)</f>
        <v/>
      </c>
      <c r="D21" s="9">
        <f>SUM(D5:D20)</f>
        <v/>
      </c>
      <c r="E21" s="9">
        <f>SUM(E5:E20)</f>
        <v/>
      </c>
      <c r="F21" s="9">
        <f>SUM(F5:F20)</f>
        <v/>
      </c>
      <c r="G21" s="9">
        <f>SUM(G5:G20)</f>
        <v/>
      </c>
      <c r="H21" s="9">
        <f>SUM(H5:H20)</f>
        <v/>
      </c>
      <c r="I21" s="9">
        <f>SUM(I5:I20)</f>
        <v/>
      </c>
      <c r="J21" s="9">
        <f>ROUND(100*I21/G21,1)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>
      <c r="A1" s="4" t="inlineStr">
        <is>
          <t>Supplementary Table S5b. Negative-mode biomarker counts (5,697 biomarkers, 16 analysis phyla)</t>
        </is>
      </c>
    </row>
    <row r="2">
      <c r="A2" s="5" t="inlineStr">
        <is>
          <t>Strict release biomarker set. Negative mode has no Silver tier.</t>
        </is>
      </c>
    </row>
    <row r="4">
      <c r="A4" s="6" t="inlineStr">
        <is>
          <t>Phylum</t>
        </is>
      </c>
      <c r="B4" s="6" t="inlineStr">
        <is>
          <t>Kingdom</t>
        </is>
      </c>
      <c r="C4" s="7" t="inlineStr">
        <is>
          <t>Gold</t>
        </is>
      </c>
      <c r="D4" s="7" t="inlineStr">
        <is>
          <t>Silver</t>
        </is>
      </c>
      <c r="E4" s="7" t="inlineStr">
        <is>
          <t>Bronze</t>
        </is>
      </c>
      <c r="F4" s="7" t="inlineStr">
        <is>
          <t>Unidentified</t>
        </is>
      </c>
      <c r="G4" s="7" t="inlineStr">
        <is>
          <t>Total</t>
        </is>
      </c>
      <c r="H4" s="7" t="inlineStr">
        <is>
          <t>Gold+Silver</t>
        </is>
      </c>
      <c r="I4" s="7" t="inlineStr">
        <is>
          <t>Annotated</t>
        </is>
      </c>
      <c r="J4" s="7" t="inlineStr">
        <is>
          <t>Annotated %</t>
        </is>
      </c>
    </row>
    <row r="5">
      <c r="A5" s="8" t="inlineStr">
        <is>
          <t>Arthropoda</t>
        </is>
      </c>
      <c r="B5" s="8" t="inlineStr">
        <is>
          <t>Animalia</t>
        </is>
      </c>
      <c r="C5" s="8" t="n">
        <v>50</v>
      </c>
      <c r="D5" s="8" t="n">
        <v>0</v>
      </c>
      <c r="E5" s="8" t="n">
        <v>191</v>
      </c>
      <c r="F5" s="8" t="n">
        <v>512</v>
      </c>
      <c r="G5" s="8" t="n">
        <v>753</v>
      </c>
      <c r="H5" s="8" t="n">
        <v>50</v>
      </c>
      <c r="I5" s="8" t="n">
        <v>241</v>
      </c>
      <c r="J5" s="8" t="n">
        <v>32</v>
      </c>
    </row>
    <row r="6">
      <c r="A6" s="8" t="inlineStr">
        <is>
          <t>Mollusca</t>
        </is>
      </c>
      <c r="B6" s="8" t="inlineStr">
        <is>
          <t>Animalia</t>
        </is>
      </c>
      <c r="C6" s="8" t="n">
        <v>8</v>
      </c>
      <c r="D6" s="8" t="n">
        <v>0</v>
      </c>
      <c r="E6" s="8" t="n">
        <v>57</v>
      </c>
      <c r="F6" s="8" t="n">
        <v>262</v>
      </c>
      <c r="G6" s="8" t="n">
        <v>327</v>
      </c>
      <c r="H6" s="8" t="n">
        <v>8</v>
      </c>
      <c r="I6" s="8" t="n">
        <v>65</v>
      </c>
      <c r="J6" s="8" t="n">
        <v>19.9</v>
      </c>
    </row>
    <row r="7">
      <c r="A7" s="8" t="inlineStr">
        <is>
          <t>Nematoda</t>
        </is>
      </c>
      <c r="B7" s="8" t="inlineStr">
        <is>
          <t>Animalia</t>
        </is>
      </c>
      <c r="C7" s="8" t="n">
        <v>6</v>
      </c>
      <c r="D7" s="8" t="n">
        <v>0</v>
      </c>
      <c r="E7" s="8" t="n">
        <v>58</v>
      </c>
      <c r="F7" s="8" t="n">
        <v>185</v>
      </c>
      <c r="G7" s="8" t="n">
        <v>249</v>
      </c>
      <c r="H7" s="8" t="n">
        <v>6</v>
      </c>
      <c r="I7" s="8" t="n">
        <v>64</v>
      </c>
      <c r="J7" s="8" t="n">
        <v>25.7</v>
      </c>
    </row>
    <row r="8">
      <c r="A8" s="8" t="inlineStr">
        <is>
          <t>Methanobacteriota</t>
        </is>
      </c>
      <c r="B8" s="8" t="inlineStr">
        <is>
          <t>Archaea</t>
        </is>
      </c>
      <c r="C8" s="8" t="n">
        <v>0</v>
      </c>
      <c r="D8" s="8" t="n">
        <v>0</v>
      </c>
      <c r="E8" s="8" t="n">
        <v>10</v>
      </c>
      <c r="F8" s="8" t="n">
        <v>8</v>
      </c>
      <c r="G8" s="8" t="n">
        <v>18</v>
      </c>
      <c r="H8" s="8" t="n">
        <v>0</v>
      </c>
      <c r="I8" s="8" t="n">
        <v>10</v>
      </c>
      <c r="J8" s="8" t="n">
        <v>55.6</v>
      </c>
    </row>
    <row r="9">
      <c r="A9" s="8" t="inlineStr">
        <is>
          <t>Thermoproteota</t>
        </is>
      </c>
      <c r="B9" s="8" t="inlineStr">
        <is>
          <t>Archaea</t>
        </is>
      </c>
      <c r="C9" s="8" t="n">
        <v>0</v>
      </c>
      <c r="D9" s="8" t="n">
        <v>0</v>
      </c>
      <c r="E9" s="8" t="n">
        <v>2</v>
      </c>
      <c r="F9" s="8" t="n">
        <v>1</v>
      </c>
      <c r="G9" s="8" t="n">
        <v>3</v>
      </c>
      <c r="H9" s="8" t="n">
        <v>0</v>
      </c>
      <c r="I9" s="8" t="n">
        <v>2</v>
      </c>
      <c r="J9" s="8" t="n">
        <v>66.7</v>
      </c>
    </row>
    <row r="10">
      <c r="A10" s="8" t="inlineStr">
        <is>
          <t>Actinomycetota</t>
        </is>
      </c>
      <c r="B10" s="8" t="inlineStr">
        <is>
          <t>Bacteria</t>
        </is>
      </c>
      <c r="C10" s="8" t="n">
        <v>11</v>
      </c>
      <c r="D10" s="8" t="n">
        <v>0</v>
      </c>
      <c r="E10" s="8" t="n">
        <v>4</v>
      </c>
      <c r="F10" s="8" t="n">
        <v>31</v>
      </c>
      <c r="G10" s="8" t="n">
        <v>46</v>
      </c>
      <c r="H10" s="8" t="n">
        <v>11</v>
      </c>
      <c r="I10" s="8" t="n">
        <v>15</v>
      </c>
      <c r="J10" s="8" t="n">
        <v>32.6</v>
      </c>
    </row>
    <row r="11">
      <c r="A11" s="8" t="inlineStr">
        <is>
          <t>Bacillota</t>
        </is>
      </c>
      <c r="B11" s="8" t="inlineStr">
        <is>
          <t>Bacteria</t>
        </is>
      </c>
      <c r="C11" s="8" t="n">
        <v>35</v>
      </c>
      <c r="D11" s="8" t="n">
        <v>0</v>
      </c>
      <c r="E11" s="8" t="n">
        <v>43</v>
      </c>
      <c r="F11" s="8" t="n">
        <v>168</v>
      </c>
      <c r="G11" s="8" t="n">
        <v>246</v>
      </c>
      <c r="H11" s="8" t="n">
        <v>35</v>
      </c>
      <c r="I11" s="8" t="n">
        <v>78</v>
      </c>
      <c r="J11" s="8" t="n">
        <v>31.7</v>
      </c>
    </row>
    <row r="12">
      <c r="A12" s="8" t="inlineStr">
        <is>
          <t>Pseudomonadota</t>
        </is>
      </c>
      <c r="B12" s="8" t="inlineStr">
        <is>
          <t>Bacteria</t>
        </is>
      </c>
      <c r="C12" s="8" t="n">
        <v>35</v>
      </c>
      <c r="D12" s="8" t="n">
        <v>0</v>
      </c>
      <c r="E12" s="8" t="n">
        <v>30</v>
      </c>
      <c r="F12" s="8" t="n">
        <v>100</v>
      </c>
      <c r="G12" s="8" t="n">
        <v>165</v>
      </c>
      <c r="H12" s="8" t="n">
        <v>35</v>
      </c>
      <c r="I12" s="8" t="n">
        <v>65</v>
      </c>
      <c r="J12" s="8" t="n">
        <v>39.4</v>
      </c>
    </row>
    <row r="13">
      <c r="A13" s="8" t="inlineStr">
        <is>
          <t>Ascomycota</t>
        </is>
      </c>
      <c r="B13" s="8" t="inlineStr">
        <is>
          <t>Fungi</t>
        </is>
      </c>
      <c r="C13" s="8" t="n">
        <v>172</v>
      </c>
      <c r="D13" s="8" t="n">
        <v>0</v>
      </c>
      <c r="E13" s="8" t="n">
        <v>328</v>
      </c>
      <c r="F13" s="8" t="n">
        <v>437</v>
      </c>
      <c r="G13" s="8" t="n">
        <v>937</v>
      </c>
      <c r="H13" s="8" t="n">
        <v>172</v>
      </c>
      <c r="I13" s="8" t="n">
        <v>500</v>
      </c>
      <c r="J13" s="8" t="n">
        <v>53.4</v>
      </c>
    </row>
    <row r="14">
      <c r="A14" s="8" t="inlineStr">
        <is>
          <t>Basidiomycota</t>
        </is>
      </c>
      <c r="B14" s="8" t="inlineStr">
        <is>
          <t>Fungi</t>
        </is>
      </c>
      <c r="C14" s="8" t="n">
        <v>20</v>
      </c>
      <c r="D14" s="8" t="n">
        <v>0</v>
      </c>
      <c r="E14" s="8" t="n">
        <v>62</v>
      </c>
      <c r="F14" s="8" t="n">
        <v>72</v>
      </c>
      <c r="G14" s="8" t="n">
        <v>154</v>
      </c>
      <c r="H14" s="8" t="n">
        <v>20</v>
      </c>
      <c r="I14" s="8" t="n">
        <v>82</v>
      </c>
      <c r="J14" s="8" t="n">
        <v>53.2</v>
      </c>
    </row>
    <row r="15">
      <c r="A15" s="8" t="inlineStr">
        <is>
          <t>Mucoromycota</t>
        </is>
      </c>
      <c r="B15" s="8" t="inlineStr">
        <is>
          <t>Fungi</t>
        </is>
      </c>
      <c r="C15" s="8" t="n">
        <v>3</v>
      </c>
      <c r="D15" s="8" t="n">
        <v>0</v>
      </c>
      <c r="E15" s="8" t="n">
        <v>5</v>
      </c>
      <c r="F15" s="8" t="n">
        <v>9</v>
      </c>
      <c r="G15" s="8" t="n">
        <v>17</v>
      </c>
      <c r="H15" s="8" t="n">
        <v>3</v>
      </c>
      <c r="I15" s="8" t="n">
        <v>8</v>
      </c>
      <c r="J15" s="8" t="n">
        <v>47.1</v>
      </c>
    </row>
    <row r="16">
      <c r="A16" s="8" t="inlineStr">
        <is>
          <t>Discosea</t>
        </is>
      </c>
      <c r="B16" s="8" t="inlineStr">
        <is>
          <t>Protists</t>
        </is>
      </c>
      <c r="C16" s="8" t="n">
        <v>0</v>
      </c>
      <c r="D16" s="8" t="n">
        <v>0</v>
      </c>
      <c r="E16" s="8" t="n">
        <v>1</v>
      </c>
      <c r="F16" s="8" t="n">
        <v>7</v>
      </c>
      <c r="G16" s="8" t="n">
        <v>8</v>
      </c>
      <c r="H16" s="8" t="n">
        <v>0</v>
      </c>
      <c r="I16" s="8" t="n">
        <v>1</v>
      </c>
      <c r="J16" s="8" t="n">
        <v>12.5</v>
      </c>
    </row>
    <row r="17">
      <c r="A17" s="8" t="inlineStr">
        <is>
          <t>Evosea</t>
        </is>
      </c>
      <c r="B17" s="8" t="inlineStr">
        <is>
          <t>Protists</t>
        </is>
      </c>
      <c r="C17" s="8" t="n">
        <v>4</v>
      </c>
      <c r="D17" s="8" t="n">
        <v>0</v>
      </c>
      <c r="E17" s="8" t="n">
        <v>67</v>
      </c>
      <c r="F17" s="8" t="n">
        <v>369</v>
      </c>
      <c r="G17" s="8" t="n">
        <v>440</v>
      </c>
      <c r="H17" s="8" t="n">
        <v>4</v>
      </c>
      <c r="I17" s="8" t="n">
        <v>71</v>
      </c>
      <c r="J17" s="8" t="n">
        <v>16.1</v>
      </c>
    </row>
    <row r="18">
      <c r="A18" s="8" t="inlineStr">
        <is>
          <t>Heterolobosea</t>
        </is>
      </c>
      <c r="B18" s="8" t="inlineStr">
        <is>
          <t>Protists</t>
        </is>
      </c>
      <c r="C18" s="8" t="n">
        <v>0</v>
      </c>
      <c r="D18" s="8" t="n">
        <v>0</v>
      </c>
      <c r="E18" s="8" t="n">
        <v>99</v>
      </c>
      <c r="F18" s="8" t="n">
        <v>462</v>
      </c>
      <c r="G18" s="8" t="n">
        <v>561</v>
      </c>
      <c r="H18" s="8" t="n">
        <v>0</v>
      </c>
      <c r="I18" s="8" t="n">
        <v>99</v>
      </c>
      <c r="J18" s="8" t="n">
        <v>17.6</v>
      </c>
    </row>
    <row r="19">
      <c r="A19" s="8" t="inlineStr">
        <is>
          <t>Chlorophyta</t>
        </is>
      </c>
      <c r="B19" s="8" t="inlineStr">
        <is>
          <t>Viridiplantae</t>
        </is>
      </c>
      <c r="C19" s="8" t="n">
        <v>3</v>
      </c>
      <c r="D19" s="8" t="n">
        <v>0</v>
      </c>
      <c r="E19" s="8" t="n">
        <v>33</v>
      </c>
      <c r="F19" s="8" t="n">
        <v>280</v>
      </c>
      <c r="G19" s="8" t="n">
        <v>316</v>
      </c>
      <c r="H19" s="8" t="n">
        <v>3</v>
      </c>
      <c r="I19" s="8" t="n">
        <v>36</v>
      </c>
      <c r="J19" s="8" t="n">
        <v>11.4</v>
      </c>
    </row>
    <row r="20">
      <c r="A20" s="8" t="inlineStr">
        <is>
          <t>Streptophyta</t>
        </is>
      </c>
      <c r="B20" s="8" t="inlineStr">
        <is>
          <t>Viridiplantae</t>
        </is>
      </c>
      <c r="C20" s="8" t="n">
        <v>165</v>
      </c>
      <c r="D20" s="8" t="n">
        <v>0</v>
      </c>
      <c r="E20" s="8" t="n">
        <v>387</v>
      </c>
      <c r="F20" s="8" t="n">
        <v>905</v>
      </c>
      <c r="G20" s="8" t="n">
        <v>1457</v>
      </c>
      <c r="H20" s="8" t="n">
        <v>165</v>
      </c>
      <c r="I20" s="8" t="n">
        <v>552</v>
      </c>
      <c r="J20" s="8" t="n">
        <v>37.9</v>
      </c>
    </row>
    <row r="21">
      <c r="A21" s="9" t="inlineStr">
        <is>
          <t>TOTAL</t>
        </is>
      </c>
      <c r="B21" s="10" t="n"/>
      <c r="C21" s="9">
        <f>SUM(C5:C20)</f>
        <v/>
      </c>
      <c r="D21" s="9">
        <f>SUM(D5:D20)</f>
        <v/>
      </c>
      <c r="E21" s="9">
        <f>SUM(E5:E20)</f>
        <v/>
      </c>
      <c r="F21" s="9">
        <f>SUM(F5:F20)</f>
        <v/>
      </c>
      <c r="G21" s="9">
        <f>SUM(G5:G20)</f>
        <v/>
      </c>
      <c r="H21" s="9">
        <f>SUM(H5:H20)</f>
        <v/>
      </c>
      <c r="I21" s="9">
        <f>SUM(I5:I20)</f>
        <v/>
      </c>
      <c r="J21" s="9">
        <f>ROUND(100*I21/G21,1)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2026-08-12T10:57:13Z</dcterms:created>
  <dcterms:modified xsi:type="dcterms:W3CDTF">2026-08-12T10:57:13Z</dcterms:modified>
</cp:coreProperties>
</file>
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verage_overall" sheetId="2" state="visible" r:id="rId2"/>
    <sheet name="Coverage_by_phylum_POS" sheetId="3" state="visible" r:id="rId3"/>
    <sheet name="Coverage_by_phylum_NEG" sheetId="4" state="visible" r:id="rId4"/>
    <sheet name="NPC_pathway_by_phylum_POS" sheetId="5" state="visible" r:id="rId5"/>
    <sheet name="NPC_pathway_by_phylum_N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Table S9. Computational annotation coverage by strict phylum (SIRIUS / CANOPUS / CSI:FingerID / MSNovelist)</t>
        </is>
      </c>
    </row>
    <row r="2">
      <c r="A2" s="2" t="inlineStr">
        <is>
          <t>Per-phylum coverage of the computational annotation pipeline over the strict biomarker set (11371 positive-mode and 5697 negative-mode biomarkers, 16 phyla each). SIRIUS predicts a molecular formula; CANOPUS assigns an NPClassifier / ClassyFire compound class; CSI:FingerID proposes a database structure; MSNovelist proposes a de novo structure; DreaMS provides spectral-neighbour evidence.</t>
        </is>
      </c>
    </row>
    <row r="3">
      <c r="A3" s="2" t="inlineStr">
        <is>
          <t>Denominator is all strict biomarkers in each phylum. Rates are live percentage formulas (n / n biomarkers). 'Usable MS2' is the fraction with a usable MS2 spectrum; SIRIUS additionally requires precursor m/z &lt;= 850 Da.</t>
        </is>
      </c>
    </row>
    <row r="4">
      <c r="A4" s="2" t="inlineStr">
        <is>
          <t>Coverage note: the SIRIUS/CANOPUS annotation is now COMPLETE for the SIRIUS-eligible strict biomarkers. An earlier submission gap - only ~52% of positive-mode and ~69% of negative-mode biomarkers had been submitted to SIRIUS, leaving Bacteria and Fungi near 3% and 10% - was closed by a dedicated gap-fill run of the 2,209 positive-mode and 80 negative-mode eligible-unsubmitted features (usable MS2 and m/z &lt;= 850; LISC jobs 5862224 for formula/CANOPUS/de-novo and 5869613 for CSI:FingerID structures over a BIO+PubChem database union, 2026-08-13). Positive-mode SIRIUS-formula coverage consequently rose from 5,865 to 8,004 and CANOPUS from 5,325 to 7,336. Remaining non-coverage reflects genuine ineligibility (no usable MS2, or precursor m/z &gt; 850 Da, which is SIRIUS's hard limit), not a submission shortfall; the per-phylum rates below are complete.</t>
        </is>
      </c>
    </row>
    <row r="5">
      <c r="A5" s="2" t="inlineStr">
        <is>
          <t>Sheets: 'Coverage_overall' (pipeline-step totals for both modes); 'Coverage_by_phylum_POS' / '_NEG' (per-phylum counts and rates); 'NPC_pathway_by_phylum_POS' / '_NEG' (NPClassifier pathway x phylum matrix over CANOPUS-classified features).</t>
        </is>
      </c>
    </row>
    <row r="6">
      <c r="A6" s="2" t="inlineStr">
        <is>
          <t>Kingdom labels follow the locked ecological_group vocabulary (Viridiplantae, Protists). Values are drawn from the integrated strict annotation evidence, so this table is consistent with Figure 2, Table S5 and Supplementary Figure 7 by construction.</t>
        </is>
      </c>
    </row>
    <row r="7">
      <c r="A7" s="2" t="inlineStr">
        <is>
          <t>Overall positive mode: SIRIUS formula 8004 (70.4%), CANOPUS 7336 (64.5%). Overall negative mode: SIRIUS 3914 (68.7%), CANOPUS 3531 (62.0%).</t>
        </is>
      </c>
    </row>
    <row r="8">
      <c r="A8" s="3" t="inlineStr">
        <is>
          <t>Source: annotation/annotation_evidence_{pos,neg}.csv, integrating LISC SIRIUS/CANOPUS jobs 5800445 (POS) and 5802297 (NEG) plus the 2026-08-13 gap-fill jobs 5862224 (formula/CANOPUS/de-novo) and 5869613 (CSI:FingerID structures) with the historical full-atlas SIRIUS cache via build_strict_annotation_evidence.py. Producer: paper2_repro/scripts/build_table_s9_strict16.py.</t>
        </is>
      </c>
    </row>
  </sheetData>
  <mergeCells count="8">
    <mergeCell ref="A1:H1"/>
    <mergeCell ref="A4:H4"/>
    <mergeCell ref="A3:H3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0" customWidth="1" min="5" max="5"/>
  </cols>
  <sheetData>
    <row r="1">
      <c r="A1" s="4" t="inlineStr">
        <is>
          <t>Supplementary Table S9a. Annotation coverage overall (positive and negative mode)</t>
        </is>
      </c>
    </row>
    <row r="2">
      <c r="A2" s="5" t="inlineStr">
        <is>
          <t>Pipeline step</t>
        </is>
      </c>
      <c r="B2" s="5" t="inlineStr">
        <is>
          <t>POS features</t>
        </is>
      </c>
      <c r="C2" s="5" t="inlineStr">
        <is>
          <t>POS rate</t>
        </is>
      </c>
      <c r="D2" s="5" t="inlineStr">
        <is>
          <t>NEG features</t>
        </is>
      </c>
      <c r="E2" s="5" t="inlineStr">
        <is>
          <t>NEG rate</t>
        </is>
      </c>
    </row>
    <row r="3">
      <c r="A3" s="6" t="inlineStr">
        <is>
          <t>Strict biomarkers (input)</t>
        </is>
      </c>
      <c r="B3" s="6" t="n">
        <v>11371</v>
      </c>
      <c r="D3" s="6" t="n">
        <v>5697</v>
      </c>
    </row>
    <row r="4">
      <c r="A4" s="7" t="inlineStr">
        <is>
          <t>Usable MS2</t>
        </is>
      </c>
      <c r="B4" s="7" t="n">
        <v>10871</v>
      </c>
      <c r="C4" s="8">
        <f>B4/$B$3</f>
        <v/>
      </c>
      <c r="D4" s="7" t="n">
        <v>5695</v>
      </c>
      <c r="E4" s="8">
        <f>D4/$D$3</f>
        <v/>
      </c>
    </row>
    <row r="5">
      <c r="A5" s="7" t="inlineStr">
        <is>
          <t>SIRIUS molecular formula</t>
        </is>
      </c>
      <c r="B5" s="7" t="n">
        <v>8004</v>
      </c>
      <c r="C5" s="8">
        <f>B5/$B$3</f>
        <v/>
      </c>
      <c r="D5" s="7" t="n">
        <v>3914</v>
      </c>
      <c r="E5" s="8">
        <f>D5/$D$3</f>
        <v/>
      </c>
    </row>
    <row r="6">
      <c r="A6" s="7" t="inlineStr">
        <is>
          <t>CANOPUS compound class</t>
        </is>
      </c>
      <c r="B6" s="7" t="n">
        <v>7336</v>
      </c>
      <c r="C6" s="8">
        <f>B6/$B$3</f>
        <v/>
      </c>
      <c r="D6" s="7" t="n">
        <v>3531</v>
      </c>
      <c r="E6" s="8">
        <f>D6/$D$3</f>
        <v/>
      </c>
    </row>
    <row r="7">
      <c r="A7" s="7" t="inlineStr">
        <is>
          <t>CSI:FingerID structure</t>
        </is>
      </c>
      <c r="B7" s="7" t="n">
        <v>7199</v>
      </c>
      <c r="C7" s="8">
        <f>B7/$B$3</f>
        <v/>
      </c>
      <c r="D7" s="7" t="n">
        <v>3352</v>
      </c>
      <c r="E7" s="8">
        <f>D7/$D$3</f>
        <v/>
      </c>
    </row>
    <row r="8">
      <c r="A8" s="7" t="inlineStr">
        <is>
          <t>MSNovelist de novo structure</t>
        </is>
      </c>
      <c r="B8" s="7" t="n">
        <v>7096</v>
      </c>
      <c r="C8" s="8">
        <f>B8/$B$3</f>
        <v/>
      </c>
      <c r="D8" s="7" t="n">
        <v>3377</v>
      </c>
      <c r="E8" s="8">
        <f>D8/$D$3</f>
        <v/>
      </c>
    </row>
    <row r="9">
      <c r="A9" s="7" t="inlineStr">
        <is>
          <t>DreaMS spectral neighbour</t>
        </is>
      </c>
      <c r="B9" s="7" t="n">
        <v>7095</v>
      </c>
      <c r="C9" s="8">
        <f>B9/$B$3</f>
        <v/>
      </c>
      <c r="D9" s="7" t="n">
        <v>5695</v>
      </c>
      <c r="E9" s="8">
        <f>D9/$D$3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11" customWidth="1" min="14" max="14"/>
    <col width="8" customWidth="1" min="15" max="15"/>
  </cols>
  <sheetData>
    <row r="1">
      <c r="A1" s="4" t="inlineStr">
        <is>
          <t>Supplementary Table S9b. Positive-mode annotation coverage by strict phylum</t>
        </is>
      </c>
    </row>
    <row r="2">
      <c r="A2" s="5" t="inlineStr">
        <is>
          <t>Phylum</t>
        </is>
      </c>
      <c r="B2" s="5" t="inlineStr">
        <is>
          <t>Kingdom</t>
        </is>
      </c>
      <c r="C2" s="5" t="inlineStr">
        <is>
          <t>n biomarkers</t>
        </is>
      </c>
      <c r="D2" s="5" t="inlineStr">
        <is>
          <t>Usable MS2 (n)</t>
        </is>
      </c>
      <c r="E2" s="5" t="inlineStr">
        <is>
          <t>Usable MS2 %</t>
        </is>
      </c>
      <c r="F2" s="5" t="inlineStr">
        <is>
          <t>SIRIUS molecular formula (n)</t>
        </is>
      </c>
      <c r="G2" s="5" t="inlineStr">
        <is>
          <t>SIRIUS molecular formula %</t>
        </is>
      </c>
      <c r="H2" s="5" t="inlineStr">
        <is>
          <t>CANOPUS compound class (n)</t>
        </is>
      </c>
      <c r="I2" s="5" t="inlineStr">
        <is>
          <t>CANOPUS compound class %</t>
        </is>
      </c>
      <c r="J2" s="5" t="inlineStr">
        <is>
          <t>CSI:FingerID structure (n)</t>
        </is>
      </c>
      <c r="K2" s="5" t="inlineStr">
        <is>
          <t>CSI:FingerID structure %</t>
        </is>
      </c>
      <c r="L2" s="5" t="inlineStr">
        <is>
          <t>MSNovelist de novo structure (n)</t>
        </is>
      </c>
      <c r="M2" s="5" t="inlineStr">
        <is>
          <t>MSNovelist de novo structure %</t>
        </is>
      </c>
      <c r="N2" s="5" t="inlineStr">
        <is>
          <t>DreaMS spectral neighbour (n)</t>
        </is>
      </c>
      <c r="O2" s="5" t="inlineStr">
        <is>
          <t>DreaMS spectral neighbour %</t>
        </is>
      </c>
    </row>
    <row r="3">
      <c r="A3" s="6" t="inlineStr">
        <is>
          <t>Actinomycetota</t>
        </is>
      </c>
      <c r="B3" s="7" t="inlineStr">
        <is>
          <t>Bacteria</t>
        </is>
      </c>
      <c r="C3" s="7" t="n">
        <v>274</v>
      </c>
      <c r="D3" s="7" t="n">
        <v>270</v>
      </c>
      <c r="E3" s="8">
        <f>D3/C3</f>
        <v/>
      </c>
      <c r="F3" s="7" t="n">
        <v>227</v>
      </c>
      <c r="G3" s="8">
        <f>F3/C3</f>
        <v/>
      </c>
      <c r="H3" s="7" t="n">
        <v>204</v>
      </c>
      <c r="I3" s="8">
        <f>H3/C3</f>
        <v/>
      </c>
      <c r="J3" s="7" t="n">
        <v>200</v>
      </c>
      <c r="K3" s="8">
        <f>J3/C3</f>
        <v/>
      </c>
      <c r="L3" s="7" t="n">
        <v>200</v>
      </c>
      <c r="M3" s="8">
        <f>L3/C3</f>
        <v/>
      </c>
      <c r="N3" s="7" t="n">
        <v>6</v>
      </c>
      <c r="O3" s="8">
        <f>N3/C3</f>
        <v/>
      </c>
    </row>
    <row r="4">
      <c r="A4" s="6" t="inlineStr">
        <is>
          <t>Bacillota</t>
        </is>
      </c>
      <c r="B4" s="7" t="inlineStr">
        <is>
          <t>Bacteria</t>
        </is>
      </c>
      <c r="C4" s="7" t="n">
        <v>1021</v>
      </c>
      <c r="D4" s="7" t="n">
        <v>990</v>
      </c>
      <c r="E4" s="8">
        <f>D4/C4</f>
        <v/>
      </c>
      <c r="F4" s="7" t="n">
        <v>838</v>
      </c>
      <c r="G4" s="8">
        <f>F4/C4</f>
        <v/>
      </c>
      <c r="H4" s="7" t="n">
        <v>785</v>
      </c>
      <c r="I4" s="8">
        <f>H4/C4</f>
        <v/>
      </c>
      <c r="J4" s="7" t="n">
        <v>777</v>
      </c>
      <c r="K4" s="8">
        <f>J4/C4</f>
        <v/>
      </c>
      <c r="L4" s="7" t="n">
        <v>767</v>
      </c>
      <c r="M4" s="8">
        <f>L4/C4</f>
        <v/>
      </c>
      <c r="N4" s="7" t="n">
        <v>104</v>
      </c>
      <c r="O4" s="8">
        <f>N4/C4</f>
        <v/>
      </c>
    </row>
    <row r="5">
      <c r="A5" s="6" t="inlineStr">
        <is>
          <t>Pseudomonadota</t>
        </is>
      </c>
      <c r="B5" s="7" t="inlineStr">
        <is>
          <t>Bacteria</t>
        </is>
      </c>
      <c r="C5" s="7" t="n">
        <v>413</v>
      </c>
      <c r="D5" s="7" t="n">
        <v>396</v>
      </c>
      <c r="E5" s="8">
        <f>D5/C5</f>
        <v/>
      </c>
      <c r="F5" s="7" t="n">
        <v>353</v>
      </c>
      <c r="G5" s="8">
        <f>F5/C5</f>
        <v/>
      </c>
      <c r="H5" s="7" t="n">
        <v>333</v>
      </c>
      <c r="I5" s="8">
        <f>H5/C5</f>
        <v/>
      </c>
      <c r="J5" s="7" t="n">
        <v>328</v>
      </c>
      <c r="K5" s="8">
        <f>J5/C5</f>
        <v/>
      </c>
      <c r="L5" s="7" t="n">
        <v>323</v>
      </c>
      <c r="M5" s="8">
        <f>L5/C5</f>
        <v/>
      </c>
      <c r="N5" s="7" t="n">
        <v>6</v>
      </c>
      <c r="O5" s="8">
        <f>N5/C5</f>
        <v/>
      </c>
    </row>
    <row r="6">
      <c r="A6" s="6" t="inlineStr">
        <is>
          <t>Methanobacteriota</t>
        </is>
      </c>
      <c r="B6" s="7" t="inlineStr">
        <is>
          <t>Archaea</t>
        </is>
      </c>
      <c r="C6" s="7" t="n">
        <v>1017</v>
      </c>
      <c r="D6" s="7" t="n">
        <v>1012</v>
      </c>
      <c r="E6" s="8">
        <f>D6/C6</f>
        <v/>
      </c>
      <c r="F6" s="7" t="n">
        <v>634</v>
      </c>
      <c r="G6" s="8">
        <f>F6/C6</f>
        <v/>
      </c>
      <c r="H6" s="7" t="n">
        <v>585</v>
      </c>
      <c r="I6" s="8">
        <f>H6/C6</f>
        <v/>
      </c>
      <c r="J6" s="7" t="n">
        <v>535</v>
      </c>
      <c r="K6" s="8">
        <f>J6/C6</f>
        <v/>
      </c>
      <c r="L6" s="7" t="n">
        <v>507</v>
      </c>
      <c r="M6" s="8">
        <f>L6/C6</f>
        <v/>
      </c>
      <c r="N6" s="7" t="n">
        <v>25</v>
      </c>
      <c r="O6" s="8">
        <f>N6/C6</f>
        <v/>
      </c>
    </row>
    <row r="7">
      <c r="A7" s="6" t="inlineStr">
        <is>
          <t>Thermoproteota</t>
        </is>
      </c>
      <c r="B7" s="7" t="inlineStr">
        <is>
          <t>Archaea</t>
        </is>
      </c>
      <c r="C7" s="7" t="n">
        <v>316</v>
      </c>
      <c r="D7" s="7" t="n">
        <v>315</v>
      </c>
      <c r="E7" s="8">
        <f>D7/C7</f>
        <v/>
      </c>
      <c r="F7" s="7" t="n">
        <v>201</v>
      </c>
      <c r="G7" s="8">
        <f>F7/C7</f>
        <v/>
      </c>
      <c r="H7" s="7" t="n">
        <v>170</v>
      </c>
      <c r="I7" s="8">
        <f>H7/C7</f>
        <v/>
      </c>
      <c r="J7" s="7" t="n">
        <v>166</v>
      </c>
      <c r="K7" s="8">
        <f>J7/C7</f>
        <v/>
      </c>
      <c r="L7" s="7" t="n">
        <v>159</v>
      </c>
      <c r="M7" s="8">
        <f>L7/C7</f>
        <v/>
      </c>
      <c r="N7" s="7" t="n">
        <v>99</v>
      </c>
      <c r="O7" s="8">
        <f>N7/C7</f>
        <v/>
      </c>
    </row>
    <row r="8">
      <c r="A8" s="6" t="inlineStr">
        <is>
          <t>Ascomycota</t>
        </is>
      </c>
      <c r="B8" s="7" t="inlineStr">
        <is>
          <t>Fungi</t>
        </is>
      </c>
      <c r="C8" s="7" t="n">
        <v>261</v>
      </c>
      <c r="D8" s="7" t="n">
        <v>253</v>
      </c>
      <c r="E8" s="8">
        <f>D8/C8</f>
        <v/>
      </c>
      <c r="F8" s="7" t="n">
        <v>226</v>
      </c>
      <c r="G8" s="8">
        <f>F8/C8</f>
        <v/>
      </c>
      <c r="H8" s="7" t="n">
        <v>215</v>
      </c>
      <c r="I8" s="8">
        <f>H8/C8</f>
        <v/>
      </c>
      <c r="J8" s="7" t="n">
        <v>217</v>
      </c>
      <c r="K8" s="8">
        <f>J8/C8</f>
        <v/>
      </c>
      <c r="L8" s="7" t="n">
        <v>217</v>
      </c>
      <c r="M8" s="8">
        <f>L8/C8</f>
        <v/>
      </c>
      <c r="N8" s="7" t="n">
        <v>39</v>
      </c>
      <c r="O8" s="8">
        <f>N8/C8</f>
        <v/>
      </c>
    </row>
    <row r="9">
      <c r="A9" s="6" t="inlineStr">
        <is>
          <t>Basidiomycota</t>
        </is>
      </c>
      <c r="B9" s="7" t="inlineStr">
        <is>
          <t>Fungi</t>
        </is>
      </c>
      <c r="C9" s="7" t="n">
        <v>441</v>
      </c>
      <c r="D9" s="7" t="n">
        <v>413</v>
      </c>
      <c r="E9" s="8">
        <f>D9/C9</f>
        <v/>
      </c>
      <c r="F9" s="7" t="n">
        <v>388</v>
      </c>
      <c r="G9" s="8">
        <f>F9/C9</f>
        <v/>
      </c>
      <c r="H9" s="7" t="n">
        <v>368</v>
      </c>
      <c r="I9" s="8">
        <f>H9/C9</f>
        <v/>
      </c>
      <c r="J9" s="7" t="n">
        <v>363</v>
      </c>
      <c r="K9" s="8">
        <f>J9/C9</f>
        <v/>
      </c>
      <c r="L9" s="7" t="n">
        <v>362</v>
      </c>
      <c r="M9" s="8">
        <f>L9/C9</f>
        <v/>
      </c>
      <c r="N9" s="7" t="n">
        <v>40</v>
      </c>
      <c r="O9" s="8">
        <f>N9/C9</f>
        <v/>
      </c>
    </row>
    <row r="10">
      <c r="A10" s="6" t="inlineStr">
        <is>
          <t>Mucoromycota</t>
        </is>
      </c>
      <c r="B10" s="7" t="inlineStr">
        <is>
          <t>Fungi</t>
        </is>
      </c>
      <c r="C10" s="7" t="n">
        <v>32</v>
      </c>
      <c r="D10" s="7" t="n">
        <v>32</v>
      </c>
      <c r="E10" s="8">
        <f>D10/C10</f>
        <v/>
      </c>
      <c r="F10" s="7" t="n">
        <v>28</v>
      </c>
      <c r="G10" s="8">
        <f>F10/C10</f>
        <v/>
      </c>
      <c r="H10" s="7" t="n">
        <v>27</v>
      </c>
      <c r="I10" s="8">
        <f>H10/C10</f>
        <v/>
      </c>
      <c r="J10" s="7" t="n">
        <v>23</v>
      </c>
      <c r="K10" s="8">
        <f>J10/C10</f>
        <v/>
      </c>
      <c r="L10" s="7" t="n">
        <v>25</v>
      </c>
      <c r="M10" s="8">
        <f>L10/C10</f>
        <v/>
      </c>
      <c r="N10" s="7" t="n">
        <v>4</v>
      </c>
      <c r="O10" s="8">
        <f>N10/C10</f>
        <v/>
      </c>
    </row>
    <row r="11">
      <c r="A11" s="6" t="inlineStr">
        <is>
          <t>Chlorophyta</t>
        </is>
      </c>
      <c r="B11" s="7" t="inlineStr">
        <is>
          <t>Viridiplantae</t>
        </is>
      </c>
      <c r="C11" s="7" t="n">
        <v>453</v>
      </c>
      <c r="D11" s="7" t="n">
        <v>417</v>
      </c>
      <c r="E11" s="8">
        <f>D11/C11</f>
        <v/>
      </c>
      <c r="F11" s="7" t="n">
        <v>243</v>
      </c>
      <c r="G11" s="8">
        <f>F11/C11</f>
        <v/>
      </c>
      <c r="H11" s="7" t="n">
        <v>213</v>
      </c>
      <c r="I11" s="8">
        <f>H11/C11</f>
        <v/>
      </c>
      <c r="J11" s="7" t="n">
        <v>209</v>
      </c>
      <c r="K11" s="8">
        <f>J11/C11</f>
        <v/>
      </c>
      <c r="L11" s="7" t="n">
        <v>207</v>
      </c>
      <c r="M11" s="8">
        <f>L11/C11</f>
        <v/>
      </c>
      <c r="N11" s="7" t="n">
        <v>353</v>
      </c>
      <c r="O11" s="8">
        <f>N11/C11</f>
        <v/>
      </c>
    </row>
    <row r="12">
      <c r="A12" s="6" t="inlineStr">
        <is>
          <t>Streptophyta</t>
        </is>
      </c>
      <c r="B12" s="7" t="inlineStr">
        <is>
          <t>Viridiplantae</t>
        </is>
      </c>
      <c r="C12" s="7" t="n">
        <v>5168</v>
      </c>
      <c r="D12" s="7" t="n">
        <v>4917</v>
      </c>
      <c r="E12" s="8">
        <f>D12/C12</f>
        <v/>
      </c>
      <c r="F12" s="7" t="n">
        <v>3752</v>
      </c>
      <c r="G12" s="8">
        <f>F12/C12</f>
        <v/>
      </c>
      <c r="H12" s="7" t="n">
        <v>3405</v>
      </c>
      <c r="I12" s="8">
        <f>H12/C12</f>
        <v/>
      </c>
      <c r="J12" s="7" t="n">
        <v>3379</v>
      </c>
      <c r="K12" s="8">
        <f>J12/C12</f>
        <v/>
      </c>
      <c r="L12" s="7" t="n">
        <v>3333</v>
      </c>
      <c r="M12" s="8">
        <f>L12/C12</f>
        <v/>
      </c>
      <c r="N12" s="7" t="n">
        <v>4888</v>
      </c>
      <c r="O12" s="8">
        <f>N12/C12</f>
        <v/>
      </c>
    </row>
    <row r="13">
      <c r="A13" s="6" t="inlineStr">
        <is>
          <t>Arthropoda</t>
        </is>
      </c>
      <c r="B13" s="7" t="inlineStr">
        <is>
          <t>Animalia</t>
        </is>
      </c>
      <c r="C13" s="7" t="n">
        <v>382</v>
      </c>
      <c r="D13" s="7" t="n">
        <v>357</v>
      </c>
      <c r="E13" s="8">
        <f>D13/C13</f>
        <v/>
      </c>
      <c r="F13" s="7" t="n">
        <v>323</v>
      </c>
      <c r="G13" s="8">
        <f>F13/C13</f>
        <v/>
      </c>
      <c r="H13" s="7" t="n">
        <v>310</v>
      </c>
      <c r="I13" s="8">
        <f>H13/C13</f>
        <v/>
      </c>
      <c r="J13" s="7" t="n">
        <v>303</v>
      </c>
      <c r="K13" s="8">
        <f>J13/C13</f>
        <v/>
      </c>
      <c r="L13" s="7" t="n">
        <v>304</v>
      </c>
      <c r="M13" s="8">
        <f>L13/C13</f>
        <v/>
      </c>
      <c r="N13" s="7" t="n">
        <v>226</v>
      </c>
      <c r="O13" s="8">
        <f>N13/C13</f>
        <v/>
      </c>
    </row>
    <row r="14">
      <c r="A14" s="6" t="inlineStr">
        <is>
          <t>Mollusca</t>
        </is>
      </c>
      <c r="B14" s="7" t="inlineStr">
        <is>
          <t>Animalia</t>
        </is>
      </c>
      <c r="C14" s="7" t="n">
        <v>455</v>
      </c>
      <c r="D14" s="7" t="n">
        <v>431</v>
      </c>
      <c r="E14" s="8">
        <f>D14/C14</f>
        <v/>
      </c>
      <c r="F14" s="7" t="n">
        <v>235</v>
      </c>
      <c r="G14" s="8">
        <f>F14/C14</f>
        <v/>
      </c>
      <c r="H14" s="7" t="n">
        <v>218</v>
      </c>
      <c r="I14" s="8">
        <f>H14/C14</f>
        <v/>
      </c>
      <c r="J14" s="7" t="n">
        <v>210</v>
      </c>
      <c r="K14" s="8">
        <f>J14/C14</f>
        <v/>
      </c>
      <c r="L14" s="7" t="n">
        <v>211</v>
      </c>
      <c r="M14" s="8">
        <f>L14/C14</f>
        <v/>
      </c>
      <c r="N14" s="7" t="n">
        <v>275</v>
      </c>
      <c r="O14" s="8">
        <f>N14/C14</f>
        <v/>
      </c>
    </row>
    <row r="15">
      <c r="A15" s="6" t="inlineStr">
        <is>
          <t>Nematoda</t>
        </is>
      </c>
      <c r="B15" s="7" t="inlineStr">
        <is>
          <t>Animalia</t>
        </is>
      </c>
      <c r="C15" s="7" t="n">
        <v>422</v>
      </c>
      <c r="D15" s="7" t="n">
        <v>390</v>
      </c>
      <c r="E15" s="8">
        <f>D15/C15</f>
        <v/>
      </c>
      <c r="F15" s="7" t="n">
        <v>144</v>
      </c>
      <c r="G15" s="8">
        <f>F15/C15</f>
        <v/>
      </c>
      <c r="H15" s="7" t="n">
        <v>127</v>
      </c>
      <c r="I15" s="8">
        <f>H15/C15</f>
        <v/>
      </c>
      <c r="J15" s="7" t="n">
        <v>124</v>
      </c>
      <c r="K15" s="8">
        <f>J15/C15</f>
        <v/>
      </c>
      <c r="L15" s="7" t="n">
        <v>115</v>
      </c>
      <c r="M15" s="8">
        <f>L15/C15</f>
        <v/>
      </c>
      <c r="N15" s="7" t="n">
        <v>379</v>
      </c>
      <c r="O15" s="8">
        <f>N15/C15</f>
        <v/>
      </c>
    </row>
    <row r="16">
      <c r="A16" s="6" t="inlineStr">
        <is>
          <t>Discosea</t>
        </is>
      </c>
      <c r="B16" s="7" t="inlineStr">
        <is>
          <t>Protists</t>
        </is>
      </c>
      <c r="C16" s="7" t="n">
        <v>35</v>
      </c>
      <c r="D16" s="7" t="n">
        <v>35</v>
      </c>
      <c r="E16" s="8">
        <f>D16/C16</f>
        <v/>
      </c>
      <c r="F16" s="7" t="n">
        <v>27</v>
      </c>
      <c r="G16" s="8">
        <f>F16/C16</f>
        <v/>
      </c>
      <c r="H16" s="7" t="n">
        <v>25</v>
      </c>
      <c r="I16" s="8">
        <f>H16/C16</f>
        <v/>
      </c>
      <c r="J16" s="7" t="n">
        <v>25</v>
      </c>
      <c r="K16" s="8">
        <f>J16/C16</f>
        <v/>
      </c>
      <c r="L16" s="7" t="n">
        <v>25</v>
      </c>
      <c r="M16" s="8">
        <f>L16/C16</f>
        <v/>
      </c>
      <c r="N16" s="7" t="n">
        <v>15</v>
      </c>
      <c r="O16" s="8">
        <f>N16/C16</f>
        <v/>
      </c>
    </row>
    <row r="17">
      <c r="A17" s="6" t="inlineStr">
        <is>
          <t>Evosea</t>
        </is>
      </c>
      <c r="B17" s="7" t="inlineStr">
        <is>
          <t>Protists</t>
        </is>
      </c>
      <c r="C17" s="7" t="n">
        <v>650</v>
      </c>
      <c r="D17" s="7" t="n">
        <v>613</v>
      </c>
      <c r="E17" s="8">
        <f>D17/C17</f>
        <v/>
      </c>
      <c r="F17" s="7" t="n">
        <v>356</v>
      </c>
      <c r="G17" s="8">
        <f>F17/C17</f>
        <v/>
      </c>
      <c r="H17" s="7" t="n">
        <v>323</v>
      </c>
      <c r="I17" s="8">
        <f>H17/C17</f>
        <v/>
      </c>
      <c r="J17" s="7" t="n">
        <v>314</v>
      </c>
      <c r="K17" s="8">
        <f>J17/C17</f>
        <v/>
      </c>
      <c r="L17" s="7" t="n">
        <v>313</v>
      </c>
      <c r="M17" s="8">
        <f>L17/C17</f>
        <v/>
      </c>
      <c r="N17" s="7" t="n">
        <v>613</v>
      </c>
      <c r="O17" s="8">
        <f>N17/C17</f>
        <v/>
      </c>
    </row>
    <row r="18">
      <c r="A18" s="6" t="inlineStr">
        <is>
          <t>Heterolobosea</t>
        </is>
      </c>
      <c r="B18" s="7" t="inlineStr">
        <is>
          <t>Protists</t>
        </is>
      </c>
      <c r="C18" s="7" t="n">
        <v>31</v>
      </c>
      <c r="D18" s="7" t="n">
        <v>30</v>
      </c>
      <c r="E18" s="8">
        <f>D18/C18</f>
        <v/>
      </c>
      <c r="F18" s="7" t="n">
        <v>29</v>
      </c>
      <c r="G18" s="8">
        <f>F18/C18</f>
        <v/>
      </c>
      <c r="H18" s="7" t="n">
        <v>28</v>
      </c>
      <c r="I18" s="8">
        <f>H18/C18</f>
        <v/>
      </c>
      <c r="J18" s="7" t="n">
        <v>26</v>
      </c>
      <c r="K18" s="8">
        <f>J18/C18</f>
        <v/>
      </c>
      <c r="L18" s="7" t="n">
        <v>28</v>
      </c>
      <c r="M18" s="8">
        <f>L18/C18</f>
        <v/>
      </c>
      <c r="N18" s="7" t="n">
        <v>23</v>
      </c>
      <c r="O18" s="8">
        <f>N18/C18</f>
        <v/>
      </c>
    </row>
    <row r="19">
      <c r="A19" s="6" t="inlineStr">
        <is>
          <t>All phyla</t>
        </is>
      </c>
      <c r="C19" s="6">
        <f>SUM(C3:C18)</f>
        <v/>
      </c>
      <c r="D19" s="6">
        <f>SUM(D3:D18)</f>
        <v/>
      </c>
      <c r="E19" s="9">
        <f>D19/C19</f>
        <v/>
      </c>
      <c r="F19" s="6">
        <f>SUM(F3:F18)</f>
        <v/>
      </c>
      <c r="G19" s="9">
        <f>F19/C19</f>
        <v/>
      </c>
      <c r="H19" s="6">
        <f>SUM(H3:H18)</f>
        <v/>
      </c>
      <c r="I19" s="9">
        <f>H19/C19</f>
        <v/>
      </c>
      <c r="J19" s="6">
        <f>SUM(J3:J18)</f>
        <v/>
      </c>
      <c r="K19" s="9">
        <f>J19/C19</f>
        <v/>
      </c>
      <c r="L19" s="6">
        <f>SUM(L3:L18)</f>
        <v/>
      </c>
      <c r="M19" s="9">
        <f>L19/C19</f>
        <v/>
      </c>
      <c r="N19" s="6">
        <f>SUM(N3:N18)</f>
        <v/>
      </c>
      <c r="O19" s="9">
        <f>N19/C19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11" customWidth="1" min="14" max="14"/>
    <col width="8" customWidth="1" min="15" max="15"/>
  </cols>
  <sheetData>
    <row r="1">
      <c r="A1" s="4" t="inlineStr">
        <is>
          <t>Supplementary Table S9c. Negative-mode annotation coverage by strict phylum</t>
        </is>
      </c>
    </row>
    <row r="2">
      <c r="A2" s="5" t="inlineStr">
        <is>
          <t>Phylum</t>
        </is>
      </c>
      <c r="B2" s="5" t="inlineStr">
        <is>
          <t>Kingdom</t>
        </is>
      </c>
      <c r="C2" s="5" t="inlineStr">
        <is>
          <t>n biomarkers</t>
        </is>
      </c>
      <c r="D2" s="5" t="inlineStr">
        <is>
          <t>Usable MS2 (n)</t>
        </is>
      </c>
      <c r="E2" s="5" t="inlineStr">
        <is>
          <t>Usable MS2 %</t>
        </is>
      </c>
      <c r="F2" s="5" t="inlineStr">
        <is>
          <t>SIRIUS molecular formula (n)</t>
        </is>
      </c>
      <c r="G2" s="5" t="inlineStr">
        <is>
          <t>SIRIUS molecular formula %</t>
        </is>
      </c>
      <c r="H2" s="5" t="inlineStr">
        <is>
          <t>CANOPUS compound class (n)</t>
        </is>
      </c>
      <c r="I2" s="5" t="inlineStr">
        <is>
          <t>CANOPUS compound class %</t>
        </is>
      </c>
      <c r="J2" s="5" t="inlineStr">
        <is>
          <t>CSI:FingerID structure (n)</t>
        </is>
      </c>
      <c r="K2" s="5" t="inlineStr">
        <is>
          <t>CSI:FingerID structure %</t>
        </is>
      </c>
      <c r="L2" s="5" t="inlineStr">
        <is>
          <t>MSNovelist de novo structure (n)</t>
        </is>
      </c>
      <c r="M2" s="5" t="inlineStr">
        <is>
          <t>MSNovelist de novo structure %</t>
        </is>
      </c>
      <c r="N2" s="5" t="inlineStr">
        <is>
          <t>DreaMS spectral neighbour (n)</t>
        </is>
      </c>
      <c r="O2" s="5" t="inlineStr">
        <is>
          <t>DreaMS spectral neighbour %</t>
        </is>
      </c>
    </row>
    <row r="3">
      <c r="A3" s="6" t="inlineStr">
        <is>
          <t>Actinomycetota</t>
        </is>
      </c>
      <c r="B3" s="7" t="inlineStr">
        <is>
          <t>Bacteria</t>
        </is>
      </c>
      <c r="C3" s="7" t="n">
        <v>46</v>
      </c>
      <c r="D3" s="7" t="n">
        <v>46</v>
      </c>
      <c r="E3" s="8">
        <f>D3/C3</f>
        <v/>
      </c>
      <c r="F3" s="7" t="n">
        <v>24</v>
      </c>
      <c r="G3" s="8">
        <f>F3/C3</f>
        <v/>
      </c>
      <c r="H3" s="7" t="n">
        <v>20</v>
      </c>
      <c r="I3" s="8">
        <f>H3/C3</f>
        <v/>
      </c>
      <c r="J3" s="7" t="n">
        <v>19</v>
      </c>
      <c r="K3" s="8">
        <f>J3/C3</f>
        <v/>
      </c>
      <c r="L3" s="7" t="n">
        <v>20</v>
      </c>
      <c r="M3" s="8">
        <f>L3/C3</f>
        <v/>
      </c>
      <c r="N3" s="7" t="n">
        <v>46</v>
      </c>
      <c r="O3" s="8">
        <f>N3/C3</f>
        <v/>
      </c>
    </row>
    <row r="4">
      <c r="A4" s="6" t="inlineStr">
        <is>
          <t>Bacillota</t>
        </is>
      </c>
      <c r="B4" s="7" t="inlineStr">
        <is>
          <t>Bacteria</t>
        </is>
      </c>
      <c r="C4" s="7" t="n">
        <v>246</v>
      </c>
      <c r="D4" s="7" t="n">
        <v>246</v>
      </c>
      <c r="E4" s="8">
        <f>D4/C4</f>
        <v/>
      </c>
      <c r="F4" s="7" t="n">
        <v>176</v>
      </c>
      <c r="G4" s="8">
        <f>F4/C4</f>
        <v/>
      </c>
      <c r="H4" s="7" t="n">
        <v>151</v>
      </c>
      <c r="I4" s="8">
        <f>H4/C4</f>
        <v/>
      </c>
      <c r="J4" s="7" t="n">
        <v>144</v>
      </c>
      <c r="K4" s="8">
        <f>J4/C4</f>
        <v/>
      </c>
      <c r="L4" s="7" t="n">
        <v>151</v>
      </c>
      <c r="M4" s="8">
        <f>L4/C4</f>
        <v/>
      </c>
      <c r="N4" s="7" t="n">
        <v>246</v>
      </c>
      <c r="O4" s="8">
        <f>N4/C4</f>
        <v/>
      </c>
    </row>
    <row r="5">
      <c r="A5" s="6" t="inlineStr">
        <is>
          <t>Pseudomonadota</t>
        </is>
      </c>
      <c r="B5" s="7" t="inlineStr">
        <is>
          <t>Bacteria</t>
        </is>
      </c>
      <c r="C5" s="7" t="n">
        <v>165</v>
      </c>
      <c r="D5" s="7" t="n">
        <v>165</v>
      </c>
      <c r="E5" s="8">
        <f>D5/C5</f>
        <v/>
      </c>
      <c r="F5" s="7" t="n">
        <v>101</v>
      </c>
      <c r="G5" s="8">
        <f>F5/C5</f>
        <v/>
      </c>
      <c r="H5" s="7" t="n">
        <v>92</v>
      </c>
      <c r="I5" s="8">
        <f>H5/C5</f>
        <v/>
      </c>
      <c r="J5" s="7" t="n">
        <v>89</v>
      </c>
      <c r="K5" s="8">
        <f>J5/C5</f>
        <v/>
      </c>
      <c r="L5" s="7" t="n">
        <v>93</v>
      </c>
      <c r="M5" s="8">
        <f>L5/C5</f>
        <v/>
      </c>
      <c r="N5" s="7" t="n">
        <v>165</v>
      </c>
      <c r="O5" s="8">
        <f>N5/C5</f>
        <v/>
      </c>
    </row>
    <row r="6">
      <c r="A6" s="6" t="inlineStr">
        <is>
          <t>Methanobacteriota</t>
        </is>
      </c>
      <c r="B6" s="7" t="inlineStr">
        <is>
          <t>Archaea</t>
        </is>
      </c>
      <c r="C6" s="7" t="n">
        <v>18</v>
      </c>
      <c r="D6" s="7" t="n">
        <v>18</v>
      </c>
      <c r="E6" s="8">
        <f>D6/C6</f>
        <v/>
      </c>
      <c r="F6" s="7" t="n">
        <v>9</v>
      </c>
      <c r="G6" s="8">
        <f>F6/C6</f>
        <v/>
      </c>
      <c r="H6" s="7" t="n">
        <v>6</v>
      </c>
      <c r="I6" s="8">
        <f>H6/C6</f>
        <v/>
      </c>
      <c r="J6" s="7" t="n">
        <v>5</v>
      </c>
      <c r="K6" s="8">
        <f>J6/C6</f>
        <v/>
      </c>
      <c r="L6" s="7" t="n">
        <v>4</v>
      </c>
      <c r="M6" s="8">
        <f>L6/C6</f>
        <v/>
      </c>
      <c r="N6" s="7" t="n">
        <v>18</v>
      </c>
      <c r="O6" s="8">
        <f>N6/C6</f>
        <v/>
      </c>
    </row>
    <row r="7">
      <c r="A7" s="6" t="inlineStr">
        <is>
          <t>Thermoproteota</t>
        </is>
      </c>
      <c r="B7" s="7" t="inlineStr">
        <is>
          <t>Archaea</t>
        </is>
      </c>
      <c r="C7" s="7" t="n">
        <v>3</v>
      </c>
      <c r="D7" s="7" t="n">
        <v>3</v>
      </c>
      <c r="E7" s="8">
        <f>D7/C7</f>
        <v/>
      </c>
      <c r="F7" s="7" t="n">
        <v>2</v>
      </c>
      <c r="G7" s="8">
        <f>F7/C7</f>
        <v/>
      </c>
      <c r="H7" s="7" t="n">
        <v>1</v>
      </c>
      <c r="I7" s="8">
        <f>H7/C7</f>
        <v/>
      </c>
      <c r="J7" s="7" t="n">
        <v>1</v>
      </c>
      <c r="K7" s="8">
        <f>J7/C7</f>
        <v/>
      </c>
      <c r="L7" s="7" t="n">
        <v>1</v>
      </c>
      <c r="M7" s="8">
        <f>L7/C7</f>
        <v/>
      </c>
      <c r="N7" s="7" t="n">
        <v>3</v>
      </c>
      <c r="O7" s="8">
        <f>N7/C7</f>
        <v/>
      </c>
    </row>
    <row r="8">
      <c r="A8" s="6" t="inlineStr">
        <is>
          <t>Ascomycota</t>
        </is>
      </c>
      <c r="B8" s="7" t="inlineStr">
        <is>
          <t>Fungi</t>
        </is>
      </c>
      <c r="C8" s="7" t="n">
        <v>937</v>
      </c>
      <c r="D8" s="7" t="n">
        <v>937</v>
      </c>
      <c r="E8" s="8">
        <f>D8/C8</f>
        <v/>
      </c>
      <c r="F8" s="7" t="n">
        <v>804</v>
      </c>
      <c r="G8" s="8">
        <f>F8/C8</f>
        <v/>
      </c>
      <c r="H8" s="7" t="n">
        <v>780</v>
      </c>
      <c r="I8" s="8">
        <f>H8/C8</f>
        <v/>
      </c>
      <c r="J8" s="7" t="n">
        <v>748</v>
      </c>
      <c r="K8" s="8">
        <f>J8/C8</f>
        <v/>
      </c>
      <c r="L8" s="7" t="n">
        <v>749</v>
      </c>
      <c r="M8" s="8">
        <f>L8/C8</f>
        <v/>
      </c>
      <c r="N8" s="7" t="n">
        <v>937</v>
      </c>
      <c r="O8" s="8">
        <f>N8/C8</f>
        <v/>
      </c>
    </row>
    <row r="9">
      <c r="A9" s="6" t="inlineStr">
        <is>
          <t>Basidiomycota</t>
        </is>
      </c>
      <c r="B9" s="7" t="inlineStr">
        <is>
          <t>Fungi</t>
        </is>
      </c>
      <c r="C9" s="7" t="n">
        <v>154</v>
      </c>
      <c r="D9" s="7" t="n">
        <v>153</v>
      </c>
      <c r="E9" s="8">
        <f>D9/C9</f>
        <v/>
      </c>
      <c r="F9" s="7" t="n">
        <v>132</v>
      </c>
      <c r="G9" s="8">
        <f>F9/C9</f>
        <v/>
      </c>
      <c r="H9" s="7" t="n">
        <v>129</v>
      </c>
      <c r="I9" s="8">
        <f>H9/C9</f>
        <v/>
      </c>
      <c r="J9" s="7" t="n">
        <v>122</v>
      </c>
      <c r="K9" s="8">
        <f>J9/C9</f>
        <v/>
      </c>
      <c r="L9" s="7" t="n">
        <v>122</v>
      </c>
      <c r="M9" s="8">
        <f>L9/C9</f>
        <v/>
      </c>
      <c r="N9" s="7" t="n">
        <v>153</v>
      </c>
      <c r="O9" s="8">
        <f>N9/C9</f>
        <v/>
      </c>
    </row>
    <row r="10">
      <c r="A10" s="6" t="inlineStr">
        <is>
          <t>Mucoromycota</t>
        </is>
      </c>
      <c r="B10" s="7" t="inlineStr">
        <is>
          <t>Fungi</t>
        </is>
      </c>
      <c r="C10" s="7" t="n">
        <v>17</v>
      </c>
      <c r="D10" s="7" t="n">
        <v>17</v>
      </c>
      <c r="E10" s="8">
        <f>D10/C10</f>
        <v/>
      </c>
      <c r="F10" s="7" t="n">
        <v>12</v>
      </c>
      <c r="G10" s="8">
        <f>F10/C10</f>
        <v/>
      </c>
      <c r="H10" s="7" t="n">
        <v>11</v>
      </c>
      <c r="I10" s="8">
        <f>H10/C10</f>
        <v/>
      </c>
      <c r="J10" s="7" t="n">
        <v>8</v>
      </c>
      <c r="K10" s="8">
        <f>J10/C10</f>
        <v/>
      </c>
      <c r="L10" s="7" t="n">
        <v>9</v>
      </c>
      <c r="M10" s="8">
        <f>L10/C10</f>
        <v/>
      </c>
      <c r="N10" s="7" t="n">
        <v>17</v>
      </c>
      <c r="O10" s="8">
        <f>N10/C10</f>
        <v/>
      </c>
    </row>
    <row r="11">
      <c r="A11" s="6" t="inlineStr">
        <is>
          <t>Chlorophyta</t>
        </is>
      </c>
      <c r="B11" s="7" t="inlineStr">
        <is>
          <t>Viridiplantae</t>
        </is>
      </c>
      <c r="C11" s="7" t="n">
        <v>316</v>
      </c>
      <c r="D11" s="7" t="n">
        <v>316</v>
      </c>
      <c r="E11" s="8">
        <f>D11/C11</f>
        <v/>
      </c>
      <c r="F11" s="7" t="n">
        <v>156</v>
      </c>
      <c r="G11" s="8">
        <f>F11/C11</f>
        <v/>
      </c>
      <c r="H11" s="7" t="n">
        <v>142</v>
      </c>
      <c r="I11" s="8">
        <f>H11/C11</f>
        <v/>
      </c>
      <c r="J11" s="7" t="n">
        <v>138</v>
      </c>
      <c r="K11" s="8">
        <f>J11/C11</f>
        <v/>
      </c>
      <c r="L11" s="7" t="n">
        <v>138</v>
      </c>
      <c r="M11" s="8">
        <f>L11/C11</f>
        <v/>
      </c>
      <c r="N11" s="7" t="n">
        <v>316</v>
      </c>
      <c r="O11" s="8">
        <f>N11/C11</f>
        <v/>
      </c>
    </row>
    <row r="12">
      <c r="A12" s="6" t="inlineStr">
        <is>
          <t>Streptophyta</t>
        </is>
      </c>
      <c r="B12" s="7" t="inlineStr">
        <is>
          <t>Viridiplantae</t>
        </is>
      </c>
      <c r="C12" s="7" t="n">
        <v>1457</v>
      </c>
      <c r="D12" s="7" t="n">
        <v>1457</v>
      </c>
      <c r="E12" s="8">
        <f>D12/C12</f>
        <v/>
      </c>
      <c r="F12" s="7" t="n">
        <v>1060</v>
      </c>
      <c r="G12" s="8">
        <f>F12/C12</f>
        <v/>
      </c>
      <c r="H12" s="7" t="n">
        <v>1014</v>
      </c>
      <c r="I12" s="8">
        <f>H12/C12</f>
        <v/>
      </c>
      <c r="J12" s="7" t="n">
        <v>987</v>
      </c>
      <c r="K12" s="8">
        <f>J12/C12</f>
        <v/>
      </c>
      <c r="L12" s="7" t="n">
        <v>965</v>
      </c>
      <c r="M12" s="8">
        <f>L12/C12</f>
        <v/>
      </c>
      <c r="N12" s="7" t="n">
        <v>1457</v>
      </c>
      <c r="O12" s="8">
        <f>N12/C12</f>
        <v/>
      </c>
    </row>
    <row r="13">
      <c r="A13" s="6" t="inlineStr">
        <is>
          <t>Arthropoda</t>
        </is>
      </c>
      <c r="B13" s="7" t="inlineStr">
        <is>
          <t>Animalia</t>
        </is>
      </c>
      <c r="C13" s="7" t="n">
        <v>753</v>
      </c>
      <c r="D13" s="7" t="n">
        <v>752</v>
      </c>
      <c r="E13" s="8">
        <f>D13/C13</f>
        <v/>
      </c>
      <c r="F13" s="7" t="n">
        <v>615</v>
      </c>
      <c r="G13" s="8">
        <f>F13/C13</f>
        <v/>
      </c>
      <c r="H13" s="7" t="n">
        <v>569</v>
      </c>
      <c r="I13" s="8">
        <f>H13/C13</f>
        <v/>
      </c>
      <c r="J13" s="7" t="n">
        <v>546</v>
      </c>
      <c r="K13" s="8">
        <f>J13/C13</f>
        <v/>
      </c>
      <c r="L13" s="7" t="n">
        <v>540</v>
      </c>
      <c r="M13" s="8">
        <f>L13/C13</f>
        <v/>
      </c>
      <c r="N13" s="7" t="n">
        <v>752</v>
      </c>
      <c r="O13" s="8">
        <f>N13/C13</f>
        <v/>
      </c>
    </row>
    <row r="14">
      <c r="A14" s="6" t="inlineStr">
        <is>
          <t>Mollusca</t>
        </is>
      </c>
      <c r="B14" s="7" t="inlineStr">
        <is>
          <t>Animalia</t>
        </is>
      </c>
      <c r="C14" s="7" t="n">
        <v>327</v>
      </c>
      <c r="D14" s="7" t="n">
        <v>327</v>
      </c>
      <c r="E14" s="8">
        <f>D14/C14</f>
        <v/>
      </c>
      <c r="F14" s="7" t="n">
        <v>191</v>
      </c>
      <c r="G14" s="8">
        <f>F14/C14</f>
        <v/>
      </c>
      <c r="H14" s="7" t="n">
        <v>168</v>
      </c>
      <c r="I14" s="8">
        <f>H14/C14</f>
        <v/>
      </c>
      <c r="J14" s="7" t="n">
        <v>156</v>
      </c>
      <c r="K14" s="8">
        <f>J14/C14</f>
        <v/>
      </c>
      <c r="L14" s="7" t="n">
        <v>161</v>
      </c>
      <c r="M14" s="8">
        <f>L14/C14</f>
        <v/>
      </c>
      <c r="N14" s="7" t="n">
        <v>327</v>
      </c>
      <c r="O14" s="8">
        <f>N14/C14</f>
        <v/>
      </c>
    </row>
    <row r="15">
      <c r="A15" s="6" t="inlineStr">
        <is>
          <t>Nematoda</t>
        </is>
      </c>
      <c r="B15" s="7" t="inlineStr">
        <is>
          <t>Animalia</t>
        </is>
      </c>
      <c r="C15" s="7" t="n">
        <v>249</v>
      </c>
      <c r="D15" s="7" t="n">
        <v>249</v>
      </c>
      <c r="E15" s="8">
        <f>D15/C15</f>
        <v/>
      </c>
      <c r="F15" s="7" t="n">
        <v>83</v>
      </c>
      <c r="G15" s="8">
        <f>F15/C15</f>
        <v/>
      </c>
      <c r="H15" s="7" t="n">
        <v>70</v>
      </c>
      <c r="I15" s="8">
        <f>H15/C15</f>
        <v/>
      </c>
      <c r="J15" s="7" t="n">
        <v>64</v>
      </c>
      <c r="K15" s="8">
        <f>J15/C15</f>
        <v/>
      </c>
      <c r="L15" s="7" t="n">
        <v>66</v>
      </c>
      <c r="M15" s="8">
        <f>L15/C15</f>
        <v/>
      </c>
      <c r="N15" s="7" t="n">
        <v>249</v>
      </c>
      <c r="O15" s="8">
        <f>N15/C15</f>
        <v/>
      </c>
    </row>
    <row r="16">
      <c r="A16" s="6" t="inlineStr">
        <is>
          <t>Discosea</t>
        </is>
      </c>
      <c r="B16" s="7" t="inlineStr">
        <is>
          <t>Protists</t>
        </is>
      </c>
      <c r="C16" s="7" t="n">
        <v>8</v>
      </c>
      <c r="D16" s="7" t="n">
        <v>8</v>
      </c>
      <c r="E16" s="8">
        <f>D16/C16</f>
        <v/>
      </c>
      <c r="F16" s="7" t="n">
        <v>6</v>
      </c>
      <c r="G16" s="8">
        <f>F16/C16</f>
        <v/>
      </c>
      <c r="H16" s="7" t="n">
        <v>6</v>
      </c>
      <c r="I16" s="8">
        <f>H16/C16</f>
        <v/>
      </c>
      <c r="J16" s="7" t="n">
        <v>5</v>
      </c>
      <c r="K16" s="8">
        <f>J16/C16</f>
        <v/>
      </c>
      <c r="L16" s="7" t="n">
        <v>6</v>
      </c>
      <c r="M16" s="8">
        <f>L16/C16</f>
        <v/>
      </c>
      <c r="N16" s="7" t="n">
        <v>8</v>
      </c>
      <c r="O16" s="8">
        <f>N16/C16</f>
        <v/>
      </c>
    </row>
    <row r="17">
      <c r="A17" s="6" t="inlineStr">
        <is>
          <t>Evosea</t>
        </is>
      </c>
      <c r="B17" s="7" t="inlineStr">
        <is>
          <t>Protists</t>
        </is>
      </c>
      <c r="C17" s="7" t="n">
        <v>440</v>
      </c>
      <c r="D17" s="7" t="n">
        <v>440</v>
      </c>
      <c r="E17" s="8">
        <f>D17/C17</f>
        <v/>
      </c>
      <c r="F17" s="7" t="n">
        <v>191</v>
      </c>
      <c r="G17" s="8">
        <f>F17/C17</f>
        <v/>
      </c>
      <c r="H17" s="7" t="n">
        <v>173</v>
      </c>
      <c r="I17" s="8">
        <f>H17/C17</f>
        <v/>
      </c>
      <c r="J17" s="7" t="n">
        <v>161</v>
      </c>
      <c r="K17" s="8">
        <f>J17/C17</f>
        <v/>
      </c>
      <c r="L17" s="7" t="n">
        <v>170</v>
      </c>
      <c r="M17" s="8">
        <f>L17/C17</f>
        <v/>
      </c>
      <c r="N17" s="7" t="n">
        <v>440</v>
      </c>
      <c r="O17" s="8">
        <f>N17/C17</f>
        <v/>
      </c>
    </row>
    <row r="18">
      <c r="A18" s="6" t="inlineStr">
        <is>
          <t>Heterolobosea</t>
        </is>
      </c>
      <c r="B18" s="7" t="inlineStr">
        <is>
          <t>Protists</t>
        </is>
      </c>
      <c r="C18" s="7" t="n">
        <v>561</v>
      </c>
      <c r="D18" s="7" t="n">
        <v>561</v>
      </c>
      <c r="E18" s="8">
        <f>D18/C18</f>
        <v/>
      </c>
      <c r="F18" s="7" t="n">
        <v>352</v>
      </c>
      <c r="G18" s="8">
        <f>F18/C18</f>
        <v/>
      </c>
      <c r="H18" s="7" t="n">
        <v>199</v>
      </c>
      <c r="I18" s="8">
        <f>H18/C18</f>
        <v/>
      </c>
      <c r="J18" s="7" t="n">
        <v>159</v>
      </c>
      <c r="K18" s="8">
        <f>J18/C18</f>
        <v/>
      </c>
      <c r="L18" s="7" t="n">
        <v>182</v>
      </c>
      <c r="M18" s="8">
        <f>L18/C18</f>
        <v/>
      </c>
      <c r="N18" s="7" t="n">
        <v>561</v>
      </c>
      <c r="O18" s="8">
        <f>N18/C18</f>
        <v/>
      </c>
    </row>
    <row r="19">
      <c r="A19" s="6" t="inlineStr">
        <is>
          <t>All phyla</t>
        </is>
      </c>
      <c r="C19" s="6">
        <f>SUM(C3:C18)</f>
        <v/>
      </c>
      <c r="D19" s="6">
        <f>SUM(D3:D18)</f>
        <v/>
      </c>
      <c r="E19" s="9">
        <f>D19/C19</f>
        <v/>
      </c>
      <c r="F19" s="6">
        <f>SUM(F3:F18)</f>
        <v/>
      </c>
      <c r="G19" s="9">
        <f>F19/C19</f>
        <v/>
      </c>
      <c r="H19" s="6">
        <f>SUM(H3:H18)</f>
        <v/>
      </c>
      <c r="I19" s="9">
        <f>H19/C19</f>
        <v/>
      </c>
      <c r="J19" s="6">
        <f>SUM(J3:J18)</f>
        <v/>
      </c>
      <c r="K19" s="9">
        <f>J19/C19</f>
        <v/>
      </c>
      <c r="L19" s="6">
        <f>SUM(L3:L18)</f>
        <v/>
      </c>
      <c r="M19" s="9">
        <f>L19/C19</f>
        <v/>
      </c>
      <c r="N19" s="6">
        <f>SUM(N3:N18)</f>
        <v/>
      </c>
      <c r="O19" s="9">
        <f>N19/C19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>
      <c r="A1" s="4" t="inlineStr">
        <is>
          <t>Supplementary Table S9d. Positive-mode NPClassifier pathway by strict phylum (CANOPUS)</t>
        </is>
      </c>
    </row>
    <row r="2">
      <c r="A2" s="5" t="inlineStr">
        <is>
          <t>Phylum</t>
        </is>
      </c>
      <c r="B2" s="5" t="inlineStr">
        <is>
          <t>Kingdom</t>
        </is>
      </c>
      <c r="C2" s="5" t="inlineStr">
        <is>
          <t>Fatty acids</t>
        </is>
      </c>
      <c r="D2" s="5" t="inlineStr">
        <is>
          <t>Terpenoids</t>
        </is>
      </c>
      <c r="E2" s="5" t="inlineStr">
        <is>
          <t>Polyketides</t>
        </is>
      </c>
      <c r="F2" s="5" t="inlineStr">
        <is>
          <t>Amino acids and Peptides</t>
        </is>
      </c>
      <c r="G2" s="5" t="inlineStr">
        <is>
          <t>Alkaloids</t>
        </is>
      </c>
      <c r="H2" s="5" t="inlineStr">
        <is>
          <t>Carbohydrates</t>
        </is>
      </c>
      <c r="I2" s="5" t="inlineStr">
        <is>
          <t>Shikimates and Phenylpropanoids</t>
        </is>
      </c>
      <c r="J2" s="5" t="inlineStr">
        <is>
          <t>CANOPUS classified (n)</t>
        </is>
      </c>
    </row>
    <row r="3">
      <c r="A3" s="6" t="inlineStr">
        <is>
          <t>Actinomycetota</t>
        </is>
      </c>
      <c r="B3" s="7" t="inlineStr">
        <is>
          <t>Bacteria</t>
        </is>
      </c>
      <c r="C3" s="7" t="n">
        <v>149</v>
      </c>
      <c r="D3" s="7" t="n">
        <v>11</v>
      </c>
      <c r="E3" s="7" t="n">
        <v>7</v>
      </c>
      <c r="F3" s="7" t="n">
        <v>29</v>
      </c>
      <c r="G3" s="7" t="n">
        <v>8</v>
      </c>
      <c r="H3" s="7" t="n">
        <v>0</v>
      </c>
      <c r="I3" s="7" t="n">
        <v>0</v>
      </c>
      <c r="J3" s="7">
        <f>SUM(C3:I3)</f>
        <v/>
      </c>
    </row>
    <row r="4">
      <c r="A4" s="6" t="inlineStr">
        <is>
          <t>Bacillota</t>
        </is>
      </c>
      <c r="B4" s="7" t="inlineStr">
        <is>
          <t>Bacteria</t>
        </is>
      </c>
      <c r="C4" s="7" t="n">
        <v>413</v>
      </c>
      <c r="D4" s="7" t="n">
        <v>129</v>
      </c>
      <c r="E4" s="7" t="n">
        <v>40</v>
      </c>
      <c r="F4" s="7" t="n">
        <v>142</v>
      </c>
      <c r="G4" s="7" t="n">
        <v>54</v>
      </c>
      <c r="H4" s="7" t="n">
        <v>6</v>
      </c>
      <c r="I4" s="7" t="n">
        <v>1</v>
      </c>
      <c r="J4" s="7">
        <f>SUM(C4:I4)</f>
        <v/>
      </c>
    </row>
    <row r="5">
      <c r="A5" s="6" t="inlineStr">
        <is>
          <t>Pseudomonadota</t>
        </is>
      </c>
      <c r="B5" s="7" t="inlineStr">
        <is>
          <t>Bacteria</t>
        </is>
      </c>
      <c r="C5" s="7" t="n">
        <v>215</v>
      </c>
      <c r="D5" s="7" t="n">
        <v>42</v>
      </c>
      <c r="E5" s="7" t="n">
        <v>15</v>
      </c>
      <c r="F5" s="7" t="n">
        <v>51</v>
      </c>
      <c r="G5" s="7" t="n">
        <v>10</v>
      </c>
      <c r="H5" s="7" t="n">
        <v>0</v>
      </c>
      <c r="I5" s="7" t="n">
        <v>0</v>
      </c>
      <c r="J5" s="7">
        <f>SUM(C5:I5)</f>
        <v/>
      </c>
    </row>
    <row r="6">
      <c r="A6" s="6" t="inlineStr">
        <is>
          <t>Methanobacteriota</t>
        </is>
      </c>
      <c r="B6" s="7" t="inlineStr">
        <is>
          <t>Archaea</t>
        </is>
      </c>
      <c r="C6" s="7" t="n">
        <v>391</v>
      </c>
      <c r="D6" s="7" t="n">
        <v>96</v>
      </c>
      <c r="E6" s="7" t="n">
        <v>26</v>
      </c>
      <c r="F6" s="7" t="n">
        <v>32</v>
      </c>
      <c r="G6" s="7" t="n">
        <v>36</v>
      </c>
      <c r="H6" s="7" t="n">
        <v>3</v>
      </c>
      <c r="I6" s="7" t="n">
        <v>1</v>
      </c>
      <c r="J6" s="7">
        <f>SUM(C6:I6)</f>
        <v/>
      </c>
    </row>
    <row r="7">
      <c r="A7" s="6" t="inlineStr">
        <is>
          <t>Thermoproteota</t>
        </is>
      </c>
      <c r="B7" s="7" t="inlineStr">
        <is>
          <t>Archaea</t>
        </is>
      </c>
      <c r="C7" s="7" t="n">
        <v>82</v>
      </c>
      <c r="D7" s="7" t="n">
        <v>37</v>
      </c>
      <c r="E7" s="7" t="n">
        <v>6</v>
      </c>
      <c r="F7" s="7" t="n">
        <v>15</v>
      </c>
      <c r="G7" s="7" t="n">
        <v>15</v>
      </c>
      <c r="H7" s="7" t="n">
        <v>10</v>
      </c>
      <c r="I7" s="7" t="n">
        <v>5</v>
      </c>
      <c r="J7" s="7">
        <f>SUM(C7:I7)</f>
        <v/>
      </c>
    </row>
    <row r="8">
      <c r="A8" s="6" t="inlineStr">
        <is>
          <t>Ascomycota</t>
        </is>
      </c>
      <c r="B8" s="7" t="inlineStr">
        <is>
          <t>Fungi</t>
        </is>
      </c>
      <c r="C8" s="7" t="n">
        <v>116</v>
      </c>
      <c r="D8" s="7" t="n">
        <v>47</v>
      </c>
      <c r="E8" s="7" t="n">
        <v>12</v>
      </c>
      <c r="F8" s="7" t="n">
        <v>27</v>
      </c>
      <c r="G8" s="7" t="n">
        <v>11</v>
      </c>
      <c r="H8" s="7" t="n">
        <v>2</v>
      </c>
      <c r="I8" s="7" t="n">
        <v>0</v>
      </c>
      <c r="J8" s="7">
        <f>SUM(C8:I8)</f>
        <v/>
      </c>
    </row>
    <row r="9">
      <c r="A9" s="6" t="inlineStr">
        <is>
          <t>Basidiomycota</t>
        </is>
      </c>
      <c r="B9" s="7" t="inlineStr">
        <is>
          <t>Fungi</t>
        </is>
      </c>
      <c r="C9" s="7" t="n">
        <v>193</v>
      </c>
      <c r="D9" s="7" t="n">
        <v>71</v>
      </c>
      <c r="E9" s="7" t="n">
        <v>13</v>
      </c>
      <c r="F9" s="7" t="n">
        <v>76</v>
      </c>
      <c r="G9" s="7" t="n">
        <v>13</v>
      </c>
      <c r="H9" s="7" t="n">
        <v>2</v>
      </c>
      <c r="I9" s="7" t="n">
        <v>0</v>
      </c>
      <c r="J9" s="7">
        <f>SUM(C9:I9)</f>
        <v/>
      </c>
    </row>
    <row r="10">
      <c r="A10" s="6" t="inlineStr">
        <is>
          <t>Mucoromycota</t>
        </is>
      </c>
      <c r="B10" s="7" t="inlineStr">
        <is>
          <t>Fungi</t>
        </is>
      </c>
      <c r="C10" s="7" t="n">
        <v>15</v>
      </c>
      <c r="D10" s="7" t="n">
        <v>1</v>
      </c>
      <c r="E10" s="7" t="n">
        <v>2</v>
      </c>
      <c r="F10" s="7" t="n">
        <v>6</v>
      </c>
      <c r="G10" s="7" t="n">
        <v>2</v>
      </c>
      <c r="H10" s="7" t="n">
        <v>1</v>
      </c>
      <c r="I10" s="7" t="n">
        <v>0</v>
      </c>
      <c r="J10" s="7">
        <f>SUM(C10:I10)</f>
        <v/>
      </c>
    </row>
    <row r="11">
      <c r="A11" s="6" t="inlineStr">
        <is>
          <t>Chlorophyta</t>
        </is>
      </c>
      <c r="B11" s="7" t="inlineStr">
        <is>
          <t>Viridiplantae</t>
        </is>
      </c>
      <c r="C11" s="7" t="n">
        <v>82</v>
      </c>
      <c r="D11" s="7" t="n">
        <v>53</v>
      </c>
      <c r="E11" s="7" t="n">
        <v>58</v>
      </c>
      <c r="F11" s="7" t="n">
        <v>13</v>
      </c>
      <c r="G11" s="7" t="n">
        <v>3</v>
      </c>
      <c r="H11" s="7" t="n">
        <v>3</v>
      </c>
      <c r="I11" s="7" t="n">
        <v>1</v>
      </c>
      <c r="J11" s="7">
        <f>SUM(C11:I11)</f>
        <v/>
      </c>
    </row>
    <row r="12">
      <c r="A12" s="6" t="inlineStr">
        <is>
          <t>Streptophyta</t>
        </is>
      </c>
      <c r="B12" s="7" t="inlineStr">
        <is>
          <t>Viridiplantae</t>
        </is>
      </c>
      <c r="C12" s="7" t="n">
        <v>1857</v>
      </c>
      <c r="D12" s="7" t="n">
        <v>769</v>
      </c>
      <c r="E12" s="7" t="n">
        <v>567</v>
      </c>
      <c r="F12" s="7" t="n">
        <v>123</v>
      </c>
      <c r="G12" s="7" t="n">
        <v>75</v>
      </c>
      <c r="H12" s="7" t="n">
        <v>10</v>
      </c>
      <c r="I12" s="7" t="n">
        <v>4</v>
      </c>
      <c r="J12" s="7">
        <f>SUM(C12:I12)</f>
        <v/>
      </c>
    </row>
    <row r="13">
      <c r="A13" s="6" t="inlineStr">
        <is>
          <t>Arthropoda</t>
        </is>
      </c>
      <c r="B13" s="7" t="inlineStr">
        <is>
          <t>Animalia</t>
        </is>
      </c>
      <c r="C13" s="7" t="n">
        <v>171</v>
      </c>
      <c r="D13" s="7" t="n">
        <v>42</v>
      </c>
      <c r="E13" s="7" t="n">
        <v>28</v>
      </c>
      <c r="F13" s="7" t="n">
        <v>37</v>
      </c>
      <c r="G13" s="7" t="n">
        <v>19</v>
      </c>
      <c r="H13" s="7" t="n">
        <v>11</v>
      </c>
      <c r="I13" s="7" t="n">
        <v>2</v>
      </c>
      <c r="J13" s="7">
        <f>SUM(C13:I13)</f>
        <v/>
      </c>
    </row>
    <row r="14">
      <c r="A14" s="6" t="inlineStr">
        <is>
          <t>Mollusca</t>
        </is>
      </c>
      <c r="B14" s="7" t="inlineStr">
        <is>
          <t>Animalia</t>
        </is>
      </c>
      <c r="C14" s="7" t="n">
        <v>141</v>
      </c>
      <c r="D14" s="7" t="n">
        <v>45</v>
      </c>
      <c r="E14" s="7" t="n">
        <v>12</v>
      </c>
      <c r="F14" s="7" t="n">
        <v>12</v>
      </c>
      <c r="G14" s="7" t="n">
        <v>7</v>
      </c>
      <c r="H14" s="7" t="n">
        <v>1</v>
      </c>
      <c r="I14" s="7" t="n">
        <v>0</v>
      </c>
      <c r="J14" s="7">
        <f>SUM(C14:I14)</f>
        <v/>
      </c>
    </row>
    <row r="15">
      <c r="A15" s="6" t="inlineStr">
        <is>
          <t>Nematoda</t>
        </is>
      </c>
      <c r="B15" s="7" t="inlineStr">
        <is>
          <t>Animalia</t>
        </is>
      </c>
      <c r="C15" s="7" t="n">
        <v>69</v>
      </c>
      <c r="D15" s="7" t="n">
        <v>14</v>
      </c>
      <c r="E15" s="7" t="n">
        <v>8</v>
      </c>
      <c r="F15" s="7" t="n">
        <v>18</v>
      </c>
      <c r="G15" s="7" t="n">
        <v>12</v>
      </c>
      <c r="H15" s="7" t="n">
        <v>4</v>
      </c>
      <c r="I15" s="7" t="n">
        <v>2</v>
      </c>
      <c r="J15" s="7">
        <f>SUM(C15:I15)</f>
        <v/>
      </c>
    </row>
    <row r="16">
      <c r="A16" s="6" t="inlineStr">
        <is>
          <t>Discosea</t>
        </is>
      </c>
      <c r="B16" s="7" t="inlineStr">
        <is>
          <t>Protists</t>
        </is>
      </c>
      <c r="C16" s="7" t="n">
        <v>21</v>
      </c>
      <c r="D16" s="7" t="n">
        <v>2</v>
      </c>
      <c r="E16" s="7" t="n">
        <v>0</v>
      </c>
      <c r="F16" s="7" t="n">
        <v>2</v>
      </c>
      <c r="G16" s="7" t="n">
        <v>0</v>
      </c>
      <c r="H16" s="7" t="n">
        <v>0</v>
      </c>
      <c r="I16" s="7" t="n">
        <v>0</v>
      </c>
      <c r="J16" s="7">
        <f>SUM(C16:I16)</f>
        <v/>
      </c>
    </row>
    <row r="17">
      <c r="A17" s="6" t="inlineStr">
        <is>
          <t>Evosea</t>
        </is>
      </c>
      <c r="B17" s="7" t="inlineStr">
        <is>
          <t>Protists</t>
        </is>
      </c>
      <c r="C17" s="7" t="n">
        <v>219</v>
      </c>
      <c r="D17" s="7" t="n">
        <v>37</v>
      </c>
      <c r="E17" s="7" t="n">
        <v>21</v>
      </c>
      <c r="F17" s="7" t="n">
        <v>25</v>
      </c>
      <c r="G17" s="7" t="n">
        <v>18</v>
      </c>
      <c r="H17" s="7" t="n">
        <v>2</v>
      </c>
      <c r="I17" s="7" t="n">
        <v>1</v>
      </c>
      <c r="J17" s="7">
        <f>SUM(C17:I17)</f>
        <v/>
      </c>
    </row>
    <row r="18">
      <c r="A18" s="6" t="inlineStr">
        <is>
          <t>Heterolobosea</t>
        </is>
      </c>
      <c r="B18" s="7" t="inlineStr">
        <is>
          <t>Protists</t>
        </is>
      </c>
      <c r="C18" s="7" t="n">
        <v>21</v>
      </c>
      <c r="D18" s="7" t="n">
        <v>2</v>
      </c>
      <c r="E18" s="7" t="n">
        <v>2</v>
      </c>
      <c r="F18" s="7" t="n">
        <v>2</v>
      </c>
      <c r="G18" s="7" t="n">
        <v>1</v>
      </c>
      <c r="H18" s="7" t="n">
        <v>0</v>
      </c>
      <c r="I18" s="7" t="n">
        <v>0</v>
      </c>
      <c r="J18" s="7">
        <f>SUM(C18:I18)</f>
        <v/>
      </c>
    </row>
    <row r="19">
      <c r="A19" s="6" t="inlineStr">
        <is>
          <t>All phyla</t>
        </is>
      </c>
      <c r="C19" s="6">
        <f>SUM(C3:C18)</f>
        <v/>
      </c>
      <c r="D19" s="6">
        <f>SUM(D3:D18)</f>
        <v/>
      </c>
      <c r="E19" s="6">
        <f>SUM(E3:E18)</f>
        <v/>
      </c>
      <c r="F19" s="6">
        <f>SUM(F3:F18)</f>
        <v/>
      </c>
      <c r="G19" s="6">
        <f>SUM(G3:G18)</f>
        <v/>
      </c>
      <c r="H19" s="6">
        <f>SUM(H3:H18)</f>
        <v/>
      </c>
      <c r="I19" s="6">
        <f>SUM(I3:I18)</f>
        <v/>
      </c>
      <c r="J19" s="6">
        <f>SUM(J3:J18)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>
      <c r="A1" s="4" t="inlineStr">
        <is>
          <t>Supplementary Table S9e. Negative-mode NPClassifier pathway by strict phylum (CANOPUS)</t>
        </is>
      </c>
    </row>
    <row r="2">
      <c r="A2" s="5" t="inlineStr">
        <is>
          <t>Phylum</t>
        </is>
      </c>
      <c r="B2" s="5" t="inlineStr">
        <is>
          <t>Kingdom</t>
        </is>
      </c>
      <c r="C2" s="5" t="inlineStr">
        <is>
          <t>Fatty acids</t>
        </is>
      </c>
      <c r="D2" s="5" t="inlineStr">
        <is>
          <t>Terpenoids</t>
        </is>
      </c>
      <c r="E2" s="5" t="inlineStr">
        <is>
          <t>Polyketides</t>
        </is>
      </c>
      <c r="F2" s="5" t="inlineStr">
        <is>
          <t>Amino acids and Peptides</t>
        </is>
      </c>
      <c r="G2" s="5" t="inlineStr">
        <is>
          <t>Alkaloids</t>
        </is>
      </c>
      <c r="H2" s="5" t="inlineStr">
        <is>
          <t>Carbohydrates</t>
        </is>
      </c>
      <c r="I2" s="5" t="inlineStr">
        <is>
          <t>Shikimates and Phenylpropanoids</t>
        </is>
      </c>
      <c r="J2" s="5" t="inlineStr">
        <is>
          <t>CANOPUS classified (n)</t>
        </is>
      </c>
    </row>
    <row r="3">
      <c r="A3" s="6" t="inlineStr">
        <is>
          <t>Actinomycetota</t>
        </is>
      </c>
      <c r="B3" s="7" t="inlineStr">
        <is>
          <t>Bacteria</t>
        </is>
      </c>
      <c r="C3" s="7" t="n">
        <v>15</v>
      </c>
      <c r="D3" s="7" t="n">
        <v>3</v>
      </c>
      <c r="E3" s="7" t="n">
        <v>1</v>
      </c>
      <c r="F3" s="7" t="n">
        <v>0</v>
      </c>
      <c r="G3" s="7" t="n">
        <v>1</v>
      </c>
      <c r="H3" s="7" t="n">
        <v>0</v>
      </c>
      <c r="I3" s="7" t="n">
        <v>0</v>
      </c>
      <c r="J3" s="7">
        <f>SUM(C3:I3)</f>
        <v/>
      </c>
    </row>
    <row r="4">
      <c r="A4" s="6" t="inlineStr">
        <is>
          <t>Bacillota</t>
        </is>
      </c>
      <c r="B4" s="7" t="inlineStr">
        <is>
          <t>Bacteria</t>
        </is>
      </c>
      <c r="C4" s="7" t="n">
        <v>98</v>
      </c>
      <c r="D4" s="7" t="n">
        <v>26</v>
      </c>
      <c r="E4" s="7" t="n">
        <v>14</v>
      </c>
      <c r="F4" s="7" t="n">
        <v>1</v>
      </c>
      <c r="G4" s="7" t="n">
        <v>10</v>
      </c>
      <c r="H4" s="7" t="n">
        <v>2</v>
      </c>
      <c r="I4" s="7" t="n">
        <v>0</v>
      </c>
      <c r="J4" s="7">
        <f>SUM(C4:I4)</f>
        <v/>
      </c>
    </row>
    <row r="5">
      <c r="A5" s="6" t="inlineStr">
        <is>
          <t>Pseudomonadota</t>
        </is>
      </c>
      <c r="B5" s="7" t="inlineStr">
        <is>
          <t>Bacteria</t>
        </is>
      </c>
      <c r="C5" s="7" t="n">
        <v>71</v>
      </c>
      <c r="D5" s="7" t="n">
        <v>13</v>
      </c>
      <c r="E5" s="7" t="n">
        <v>4</v>
      </c>
      <c r="F5" s="7" t="n">
        <v>3</v>
      </c>
      <c r="G5" s="7" t="n">
        <v>1</v>
      </c>
      <c r="H5" s="7" t="n">
        <v>0</v>
      </c>
      <c r="I5" s="7" t="n">
        <v>0</v>
      </c>
      <c r="J5" s="7">
        <f>SUM(C5:I5)</f>
        <v/>
      </c>
    </row>
    <row r="6">
      <c r="A6" s="6" t="inlineStr">
        <is>
          <t>Methanobacteriota</t>
        </is>
      </c>
      <c r="B6" s="7" t="inlineStr">
        <is>
          <t>Archaea</t>
        </is>
      </c>
      <c r="C6" s="7" t="n">
        <v>1</v>
      </c>
      <c r="D6" s="7" t="n">
        <v>2</v>
      </c>
      <c r="E6" s="7" t="n">
        <v>1</v>
      </c>
      <c r="F6" s="7" t="n">
        <v>0</v>
      </c>
      <c r="G6" s="7" t="n">
        <v>2</v>
      </c>
      <c r="H6" s="7" t="n">
        <v>0</v>
      </c>
      <c r="I6" s="7" t="n">
        <v>0</v>
      </c>
      <c r="J6" s="7">
        <f>SUM(C6:I6)</f>
        <v/>
      </c>
    </row>
    <row r="7">
      <c r="A7" s="6" t="inlineStr">
        <is>
          <t>Thermoproteota</t>
        </is>
      </c>
      <c r="B7" s="7" t="inlineStr">
        <is>
          <t>Archaea</t>
        </is>
      </c>
      <c r="C7" s="7" t="n">
        <v>1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>
        <f>SUM(C7:I7)</f>
        <v/>
      </c>
    </row>
    <row r="8">
      <c r="A8" s="6" t="inlineStr">
        <is>
          <t>Ascomycota</t>
        </is>
      </c>
      <c r="B8" s="7" t="inlineStr">
        <is>
          <t>Fungi</t>
        </is>
      </c>
      <c r="C8" s="7" t="n">
        <v>479</v>
      </c>
      <c r="D8" s="7" t="n">
        <v>194</v>
      </c>
      <c r="E8" s="7" t="n">
        <v>59</v>
      </c>
      <c r="F8" s="7" t="n">
        <v>9</v>
      </c>
      <c r="G8" s="7" t="n">
        <v>25</v>
      </c>
      <c r="H8" s="7" t="n">
        <v>12</v>
      </c>
      <c r="I8" s="7" t="n">
        <v>2</v>
      </c>
      <c r="J8" s="7">
        <f>SUM(C8:I8)</f>
        <v/>
      </c>
    </row>
    <row r="9">
      <c r="A9" s="6" t="inlineStr">
        <is>
          <t>Basidiomycota</t>
        </is>
      </c>
      <c r="B9" s="7" t="inlineStr">
        <is>
          <t>Fungi</t>
        </is>
      </c>
      <c r="C9" s="7" t="n">
        <v>87</v>
      </c>
      <c r="D9" s="7" t="n">
        <v>24</v>
      </c>
      <c r="E9" s="7" t="n">
        <v>11</v>
      </c>
      <c r="F9" s="7" t="n">
        <v>1</v>
      </c>
      <c r="G9" s="7" t="n">
        <v>6</v>
      </c>
      <c r="H9" s="7" t="n">
        <v>0</v>
      </c>
      <c r="I9" s="7" t="n">
        <v>0</v>
      </c>
      <c r="J9" s="7">
        <f>SUM(C9:I9)</f>
        <v/>
      </c>
    </row>
    <row r="10">
      <c r="A10" s="6" t="inlineStr">
        <is>
          <t>Mucoromycota</t>
        </is>
      </c>
      <c r="B10" s="7" t="inlineStr">
        <is>
          <t>Fungi</t>
        </is>
      </c>
      <c r="C10" s="7" t="n">
        <v>8</v>
      </c>
      <c r="D10" s="7" t="n">
        <v>0</v>
      </c>
      <c r="E10" s="7" t="n">
        <v>2</v>
      </c>
      <c r="F10" s="7" t="n">
        <v>0</v>
      </c>
      <c r="G10" s="7" t="n">
        <v>0</v>
      </c>
      <c r="H10" s="7" t="n">
        <v>1</v>
      </c>
      <c r="I10" s="7" t="n">
        <v>0</v>
      </c>
      <c r="J10" s="7">
        <f>SUM(C10:I10)</f>
        <v/>
      </c>
    </row>
    <row r="11">
      <c r="A11" s="6" t="inlineStr">
        <is>
          <t>Chlorophyta</t>
        </is>
      </c>
      <c r="B11" s="7" t="inlineStr">
        <is>
          <t>Viridiplantae</t>
        </is>
      </c>
      <c r="C11" s="7" t="n">
        <v>48</v>
      </c>
      <c r="D11" s="7" t="n">
        <v>24</v>
      </c>
      <c r="E11" s="7" t="n">
        <v>46</v>
      </c>
      <c r="F11" s="7" t="n">
        <v>1</v>
      </c>
      <c r="G11" s="7" t="n">
        <v>18</v>
      </c>
      <c r="H11" s="7" t="n">
        <v>5</v>
      </c>
      <c r="I11" s="7" t="n">
        <v>0</v>
      </c>
      <c r="J11" s="7">
        <f>SUM(C11:I11)</f>
        <v/>
      </c>
    </row>
    <row r="12">
      <c r="A12" s="6" t="inlineStr">
        <is>
          <t>Streptophyta</t>
        </is>
      </c>
      <c r="B12" s="7" t="inlineStr">
        <is>
          <t>Viridiplantae</t>
        </is>
      </c>
      <c r="C12" s="7" t="n">
        <v>525</v>
      </c>
      <c r="D12" s="7" t="n">
        <v>186</v>
      </c>
      <c r="E12" s="7" t="n">
        <v>214</v>
      </c>
      <c r="F12" s="7" t="n">
        <v>14</v>
      </c>
      <c r="G12" s="7" t="n">
        <v>69</v>
      </c>
      <c r="H12" s="7" t="n">
        <v>5</v>
      </c>
      <c r="I12" s="7" t="n">
        <v>1</v>
      </c>
      <c r="J12" s="7">
        <f>SUM(C12:I12)</f>
        <v/>
      </c>
    </row>
    <row r="13">
      <c r="A13" s="6" t="inlineStr">
        <is>
          <t>Arthropoda</t>
        </is>
      </c>
      <c r="B13" s="7" t="inlineStr">
        <is>
          <t>Animalia</t>
        </is>
      </c>
      <c r="C13" s="7" t="n">
        <v>380</v>
      </c>
      <c r="D13" s="7" t="n">
        <v>115</v>
      </c>
      <c r="E13" s="7" t="n">
        <v>25</v>
      </c>
      <c r="F13" s="7" t="n">
        <v>10</v>
      </c>
      <c r="G13" s="7" t="n">
        <v>33</v>
      </c>
      <c r="H13" s="7" t="n">
        <v>3</v>
      </c>
      <c r="I13" s="7" t="n">
        <v>3</v>
      </c>
      <c r="J13" s="7">
        <f>SUM(C13:I13)</f>
        <v/>
      </c>
    </row>
    <row r="14">
      <c r="A14" s="6" t="inlineStr">
        <is>
          <t>Mollusca</t>
        </is>
      </c>
      <c r="B14" s="7" t="inlineStr">
        <is>
          <t>Animalia</t>
        </is>
      </c>
      <c r="C14" s="7" t="n">
        <v>73</v>
      </c>
      <c r="D14" s="7" t="n">
        <v>32</v>
      </c>
      <c r="E14" s="7" t="n">
        <v>34</v>
      </c>
      <c r="F14" s="7" t="n">
        <v>1</v>
      </c>
      <c r="G14" s="7" t="n">
        <v>25</v>
      </c>
      <c r="H14" s="7" t="n">
        <v>3</v>
      </c>
      <c r="I14" s="7" t="n">
        <v>0</v>
      </c>
      <c r="J14" s="7">
        <f>SUM(C14:I14)</f>
        <v/>
      </c>
    </row>
    <row r="15">
      <c r="A15" s="6" t="inlineStr">
        <is>
          <t>Nematoda</t>
        </is>
      </c>
      <c r="B15" s="7" t="inlineStr">
        <is>
          <t>Animalia</t>
        </is>
      </c>
      <c r="C15" s="7" t="n">
        <v>34</v>
      </c>
      <c r="D15" s="7" t="n">
        <v>17</v>
      </c>
      <c r="E15" s="7" t="n">
        <v>9</v>
      </c>
      <c r="F15" s="7" t="n">
        <v>1</v>
      </c>
      <c r="G15" s="7" t="n">
        <v>6</v>
      </c>
      <c r="H15" s="7" t="n">
        <v>1</v>
      </c>
      <c r="I15" s="7" t="n">
        <v>2</v>
      </c>
      <c r="J15" s="7">
        <f>SUM(C15:I15)</f>
        <v/>
      </c>
    </row>
    <row r="16">
      <c r="A16" s="6" t="inlineStr">
        <is>
          <t>Discosea</t>
        </is>
      </c>
      <c r="B16" s="7" t="inlineStr">
        <is>
          <t>Protists</t>
        </is>
      </c>
      <c r="C16" s="7" t="n">
        <v>5</v>
      </c>
      <c r="D16" s="7" t="n">
        <v>1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>
        <f>SUM(C16:I16)</f>
        <v/>
      </c>
    </row>
    <row r="17">
      <c r="A17" s="6" t="inlineStr">
        <is>
          <t>Evosea</t>
        </is>
      </c>
      <c r="B17" s="7" t="inlineStr">
        <is>
          <t>Protists</t>
        </is>
      </c>
      <c r="C17" s="7" t="n">
        <v>112</v>
      </c>
      <c r="D17" s="7" t="n">
        <v>18</v>
      </c>
      <c r="E17" s="7" t="n">
        <v>18</v>
      </c>
      <c r="F17" s="7" t="n">
        <v>6</v>
      </c>
      <c r="G17" s="7" t="n">
        <v>17</v>
      </c>
      <c r="H17" s="7" t="n">
        <v>1</v>
      </c>
      <c r="I17" s="7" t="n">
        <v>1</v>
      </c>
      <c r="J17" s="7">
        <f>SUM(C17:I17)</f>
        <v/>
      </c>
    </row>
    <row r="18">
      <c r="A18" s="6" t="inlineStr">
        <is>
          <t>Heterolobosea</t>
        </is>
      </c>
      <c r="B18" s="7" t="inlineStr">
        <is>
          <t>Protists</t>
        </is>
      </c>
      <c r="C18" s="7" t="n">
        <v>100</v>
      </c>
      <c r="D18" s="7" t="n">
        <v>26</v>
      </c>
      <c r="E18" s="7" t="n">
        <v>13</v>
      </c>
      <c r="F18" s="7" t="n">
        <v>16</v>
      </c>
      <c r="G18" s="7" t="n">
        <v>34</v>
      </c>
      <c r="H18" s="7" t="n">
        <v>8</v>
      </c>
      <c r="I18" s="7" t="n">
        <v>2</v>
      </c>
      <c r="J18" s="7">
        <f>SUM(C18:I18)</f>
        <v/>
      </c>
    </row>
    <row r="19">
      <c r="A19" s="6" t="inlineStr">
        <is>
          <t>All phyla</t>
        </is>
      </c>
      <c r="C19" s="6">
        <f>SUM(C3:C18)</f>
        <v/>
      </c>
      <c r="D19" s="6">
        <f>SUM(D3:D18)</f>
        <v/>
      </c>
      <c r="E19" s="6">
        <f>SUM(E3:E18)</f>
        <v/>
      </c>
      <c r="F19" s="6">
        <f>SUM(F3:F18)</f>
        <v/>
      </c>
      <c r="G19" s="6">
        <f>SUM(G3:G18)</f>
        <v/>
      </c>
      <c r="H19" s="6">
        <f>SUM(H3:H18)</f>
        <v/>
      </c>
      <c r="I19" s="6">
        <f>SUM(I3:I18)</f>
        <v/>
      </c>
      <c r="J19" s="6">
        <f>SUM(J3:J18)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2026-08-13T09:43:47Z</dcterms:created>
  <dcterms:modified xsi:type="dcterms:W3CDTF">2026-08-13T09:43:47Z</dcterms:modified>
</cp:coreProperties>
</file>
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Kingdom_by_treatment" sheetId="2" state="visible" r:id="rId2"/>
    <sheet name="Phylum_by_treatment" sheetId="3" state="visible" r:id="rId3"/>
    <sheet name="Treatment_effects" sheetId="4" state="visible" r:id="rId4"/>
    <sheet name="Per_sample_fcweighted" sheetId="5" state="visible" r:id="rId5"/>
    <sheet name="Per_sample_markerpan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2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Supplementary Table S8. ClimGrass per-treatment composition (strict phyla, Figure 5 v2)</t>
        </is>
      </c>
    </row>
    <row r="2">
      <c r="A2" s="2" t="inlineStr">
        <is>
          <t>Lipid-derived composition for the four ClimGrass treatments (ambient control, ambient + drought, future climate, future + drought; n = 3 each), from the Figure 5 v2 decomposition on the 16 strict analysis phyla.</t>
        </is>
      </c>
    </row>
    <row r="3">
      <c r="A3" s="2" t="inlineStr">
        <is>
          <t>Primary composition = fold-change-weighted Bray-Curtis with hygiene rules (Rule A calibration gate, enriched-weight split, sqrt), the living-community estimate shown as the figure's bars. Marker-panel composition (the provenance-of-signal estimate, shown as the figure's diamonds) is given per sample in sheet S8e.</t>
        </is>
      </c>
    </row>
    <row r="4">
      <c r="A4" s="2" t="inlineStr">
        <is>
          <t>Sheets: 'Kingdom_by_treatment' (S8a) and 'Phylum_by_treatment' (S8b) give per-treatment mean % and SD (n=3). 'Treatment_effects' (S8c) gives drought and climate contrasts from CLR-centred fingerprint-set permutation tests (400 stratified relabelings) with BH q, plus the pre-specified qSIP replication family. 'Per_sample_fcweighted' (S8d) and 'Per_sample_markerpanel' (S8e) give the 12 individual soil samples.</t>
        </is>
      </c>
    </row>
    <row r="5">
      <c r="A5" s="2" t="inlineStr">
        <is>
          <t>Treatment contrasts are exploratory (n = 3 per treatment; n = 6 per side). Composition values are fractions of total decomposed signal; by-treatment sheets express them as percentages. Kingdom labels follow the locked ecological_group vocabulary (Viridiplantae, Protists).</t>
        </is>
      </c>
    </row>
    <row r="6">
      <c r="A6" s="2" t="inlineStr">
        <is>
          <t>Headline drought result (qSIP replication): Pseudomonadota decreases under drought, observed log2FC -0.60, one-sided permutation p = 0.0025, BH q = 0.005 (family of 2). This is a pre-specified directional replication of Metze et al. 2023 qSIP predictions.</t>
        </is>
      </c>
    </row>
    <row r="7">
      <c r="A7" s="3" t="inlineStr">
        <is>
          <t>Source: outputs/analysis/ncbi-phylum-2026-08-04-v1/climgrass/figure5_redesign_2026-08-08_v2_archlips/ (composition_fcweighted_by_sample.csv, composition_winner_by_sample.csv, r_render/data/kingdom_composition.csv, fingerprint_set_effects.csv, qsip_replication_test.csv). Producer: paper2_repro/scripts/build_table_s8_strict16.py.</t>
        </is>
      </c>
    </row>
  </sheetData>
  <mergeCells count="7">
    <mergeCell ref="A1:H1"/>
    <mergeCell ref="A4:H4"/>
    <mergeCell ref="A3:H3"/>
    <mergeCell ref="A7:H7"/>
    <mergeCell ref="A2:H2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4" t="inlineStr">
        <is>
          <t>Supplementary Table S8a. Kingdom composition by treatment (mean % +/- SD, n=3)</t>
        </is>
      </c>
    </row>
    <row r="2">
      <c r="A2" s="5" t="inlineStr">
        <is>
          <t>Group</t>
        </is>
      </c>
      <c r="B2" s="5" t="inlineStr">
        <is>
          <t>Ambient_Control mean %</t>
        </is>
      </c>
      <c r="C2" s="5" t="inlineStr">
        <is>
          <t>Ambient_Control SD</t>
        </is>
      </c>
      <c r="D2" s="5" t="inlineStr">
        <is>
          <t>Ambient_Drought mean %</t>
        </is>
      </c>
      <c r="E2" s="5" t="inlineStr">
        <is>
          <t>Ambient_Drought SD</t>
        </is>
      </c>
      <c r="F2" s="5" t="inlineStr">
        <is>
          <t>Future_Control mean %</t>
        </is>
      </c>
      <c r="G2" s="5" t="inlineStr">
        <is>
          <t>Future_Control SD</t>
        </is>
      </c>
      <c r="H2" s="5" t="inlineStr">
        <is>
          <t>Future_Drought mean %</t>
        </is>
      </c>
      <c r="I2" s="5" t="inlineStr">
        <is>
          <t>Future_Drought SD</t>
        </is>
      </c>
      <c r="J2" s="5" t="inlineStr">
        <is>
          <t>Overall mean %</t>
        </is>
      </c>
    </row>
    <row r="3">
      <c r="A3" s="6" t="inlineStr">
        <is>
          <t>Bacteria</t>
        </is>
      </c>
      <c r="B3" s="7" t="n">
        <v>37.74</v>
      </c>
      <c r="C3" s="7" t="n">
        <v>2.33</v>
      </c>
      <c r="D3" s="7" t="n">
        <v>38.64</v>
      </c>
      <c r="E3" s="7" t="n">
        <v>1.12</v>
      </c>
      <c r="F3" s="7" t="n">
        <v>38.22</v>
      </c>
      <c r="G3" s="7" t="n">
        <v>2.06</v>
      </c>
      <c r="H3" s="7" t="n">
        <v>38.29</v>
      </c>
      <c r="I3" s="7" t="n">
        <v>2.8</v>
      </c>
      <c r="J3" s="7" t="n">
        <v>38.22</v>
      </c>
    </row>
    <row r="4">
      <c r="A4" s="6" t="inlineStr">
        <is>
          <t>Archaea</t>
        </is>
      </c>
      <c r="B4" s="7" t="n">
        <v>6.22</v>
      </c>
      <c r="C4" s="7" t="n">
        <v>1.69</v>
      </c>
      <c r="D4" s="7" t="n">
        <v>4.42</v>
      </c>
      <c r="E4" s="7" t="n">
        <v>4.64</v>
      </c>
      <c r="F4" s="7" t="n">
        <v>5.29</v>
      </c>
      <c r="G4" s="7" t="n">
        <v>2.39</v>
      </c>
      <c r="H4" s="7" t="n">
        <v>6.22</v>
      </c>
      <c r="I4" s="7" t="n">
        <v>2.11</v>
      </c>
      <c r="J4" s="7" t="n">
        <v>5.54</v>
      </c>
    </row>
    <row r="5">
      <c r="A5" s="6" t="inlineStr">
        <is>
          <t>Fungi</t>
        </is>
      </c>
      <c r="B5" s="7" t="n">
        <v>28.95</v>
      </c>
      <c r="C5" s="7" t="n">
        <v>3.14</v>
      </c>
      <c r="D5" s="7" t="n">
        <v>25.58</v>
      </c>
      <c r="E5" s="7" t="n">
        <v>1.79</v>
      </c>
      <c r="F5" s="7" t="n">
        <v>28.09</v>
      </c>
      <c r="G5" s="7" t="n">
        <v>3.54</v>
      </c>
      <c r="H5" s="7" t="n">
        <v>28.69</v>
      </c>
      <c r="I5" s="7" t="n">
        <v>1.64</v>
      </c>
      <c r="J5" s="7" t="n">
        <v>27.83</v>
      </c>
    </row>
    <row r="6">
      <c r="A6" s="6" t="inlineStr">
        <is>
          <t>Viridiplantae</t>
        </is>
      </c>
      <c r="B6" s="7" t="n">
        <v>9.26</v>
      </c>
      <c r="C6" s="7" t="n">
        <v>1.72</v>
      </c>
      <c r="D6" s="7" t="n">
        <v>10.2</v>
      </c>
      <c r="E6" s="7" t="n">
        <v>1.32</v>
      </c>
      <c r="F6" s="7" t="n">
        <v>9.31</v>
      </c>
      <c r="G6" s="7" t="n">
        <v>2.2</v>
      </c>
      <c r="H6" s="7" t="n">
        <v>9.630000000000001</v>
      </c>
      <c r="I6" s="7" t="n">
        <v>1.51</v>
      </c>
      <c r="J6" s="7" t="n">
        <v>9.6</v>
      </c>
    </row>
    <row r="7">
      <c r="A7" s="6" t="inlineStr">
        <is>
          <t>Animalia</t>
        </is>
      </c>
      <c r="B7" s="7" t="n">
        <v>13.9</v>
      </c>
      <c r="C7" s="7" t="n">
        <v>0.25</v>
      </c>
      <c r="D7" s="7" t="n">
        <v>16.63</v>
      </c>
      <c r="E7" s="7" t="n">
        <v>2.58</v>
      </c>
      <c r="F7" s="7" t="n">
        <v>14.94</v>
      </c>
      <c r="G7" s="7" t="n">
        <v>1.38</v>
      </c>
      <c r="H7" s="7" t="n">
        <v>13.4</v>
      </c>
      <c r="I7" s="7" t="n">
        <v>0.75</v>
      </c>
      <c r="J7" s="7" t="n">
        <v>14.71</v>
      </c>
    </row>
    <row r="8">
      <c r="A8" s="6" t="inlineStr">
        <is>
          <t>Protists</t>
        </is>
      </c>
      <c r="B8" s="7" t="n">
        <v>3.94</v>
      </c>
      <c r="C8" s="7" t="n">
        <v>0.09</v>
      </c>
      <c r="D8" s="7" t="n">
        <v>4.54</v>
      </c>
      <c r="E8" s="7" t="n">
        <v>0.89</v>
      </c>
      <c r="F8" s="7" t="n">
        <v>4.16</v>
      </c>
      <c r="G8" s="7" t="n">
        <v>0.3</v>
      </c>
      <c r="H8" s="7" t="n">
        <v>3.78</v>
      </c>
      <c r="I8" s="7" t="n">
        <v>0.14</v>
      </c>
      <c r="J8" s="7" t="n">
        <v>4.11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4" t="inlineStr">
        <is>
          <t>Supplementary Table S8b. Phylum composition by treatment (mean % +/- SD, n=3)</t>
        </is>
      </c>
    </row>
    <row r="2">
      <c r="A2" s="5" t="inlineStr">
        <is>
          <t>Group</t>
        </is>
      </c>
      <c r="B2" s="5" t="inlineStr">
        <is>
          <t>Ambient_Control mean %</t>
        </is>
      </c>
      <c r="C2" s="5" t="inlineStr">
        <is>
          <t>Ambient_Control SD</t>
        </is>
      </c>
      <c r="D2" s="5" t="inlineStr">
        <is>
          <t>Ambient_Drought mean %</t>
        </is>
      </c>
      <c r="E2" s="5" t="inlineStr">
        <is>
          <t>Ambient_Drought SD</t>
        </is>
      </c>
      <c r="F2" s="5" t="inlineStr">
        <is>
          <t>Future_Control mean %</t>
        </is>
      </c>
      <c r="G2" s="5" t="inlineStr">
        <is>
          <t>Future_Control SD</t>
        </is>
      </c>
      <c r="H2" s="5" t="inlineStr">
        <is>
          <t>Future_Drought mean %</t>
        </is>
      </c>
      <c r="I2" s="5" t="inlineStr">
        <is>
          <t>Future_Drought SD</t>
        </is>
      </c>
      <c r="J2" s="5" t="inlineStr">
        <is>
          <t>Overall mean %</t>
        </is>
      </c>
    </row>
    <row r="3">
      <c r="A3" s="6" t="inlineStr">
        <is>
          <t>Actinomycetota</t>
        </is>
      </c>
      <c r="B3" s="7" t="n">
        <v>18.82</v>
      </c>
      <c r="C3" s="7" t="n">
        <v>0.48</v>
      </c>
      <c r="D3" s="7" t="n">
        <v>19.9</v>
      </c>
      <c r="E3" s="7" t="n">
        <v>3.27</v>
      </c>
      <c r="F3" s="7" t="n">
        <v>19.1</v>
      </c>
      <c r="G3" s="7" t="n">
        <v>1.25</v>
      </c>
      <c r="H3" s="7" t="n">
        <v>22.9</v>
      </c>
      <c r="I3" s="7" t="n">
        <v>4.67</v>
      </c>
      <c r="J3" s="7" t="n">
        <v>20.18</v>
      </c>
    </row>
    <row r="4">
      <c r="A4" s="6" t="inlineStr">
        <is>
          <t>Bacillota</t>
        </is>
      </c>
      <c r="B4" s="7" t="n">
        <v>5.17</v>
      </c>
      <c r="C4" s="7" t="n">
        <v>0.11</v>
      </c>
      <c r="D4" s="7" t="n">
        <v>7.36</v>
      </c>
      <c r="E4" s="7" t="n">
        <v>1.26</v>
      </c>
      <c r="F4" s="7" t="n">
        <v>6.14</v>
      </c>
      <c r="G4" s="7" t="n">
        <v>0.45</v>
      </c>
      <c r="H4" s="7" t="n">
        <v>5.45</v>
      </c>
      <c r="I4" s="7" t="n">
        <v>0.71</v>
      </c>
      <c r="J4" s="7" t="n">
        <v>6.03</v>
      </c>
    </row>
    <row r="5">
      <c r="A5" s="6" t="inlineStr">
        <is>
          <t>Pseudomonadota</t>
        </is>
      </c>
      <c r="B5" s="7" t="n">
        <v>13.75</v>
      </c>
      <c r="C5" s="7" t="n">
        <v>1.94</v>
      </c>
      <c r="D5" s="7" t="n">
        <v>11.38</v>
      </c>
      <c r="E5" s="7" t="n">
        <v>1.23</v>
      </c>
      <c r="F5" s="7" t="n">
        <v>12.98</v>
      </c>
      <c r="G5" s="7" t="n">
        <v>2.11</v>
      </c>
      <c r="H5" s="7" t="n">
        <v>9.94</v>
      </c>
      <c r="I5" s="7" t="n">
        <v>2.2</v>
      </c>
      <c r="J5" s="7" t="n">
        <v>12.01</v>
      </c>
    </row>
    <row r="6">
      <c r="A6" s="6" t="inlineStr">
        <is>
          <t>Methanobacteriota</t>
        </is>
      </c>
      <c r="B6" s="7" t="n">
        <v>5.23</v>
      </c>
      <c r="C6" s="7" t="n">
        <v>1.62</v>
      </c>
      <c r="D6" s="7" t="n">
        <v>3.82</v>
      </c>
      <c r="E6" s="7" t="n">
        <v>3.86</v>
      </c>
      <c r="F6" s="7" t="n">
        <v>4.6</v>
      </c>
      <c r="G6" s="7" t="n">
        <v>2.04</v>
      </c>
      <c r="H6" s="7" t="n">
        <v>4.71</v>
      </c>
      <c r="I6" s="7" t="n">
        <v>1.83</v>
      </c>
      <c r="J6" s="7" t="n">
        <v>4.59</v>
      </c>
    </row>
    <row r="7">
      <c r="A7" s="6" t="inlineStr">
        <is>
          <t>Thermoproteota</t>
        </is>
      </c>
      <c r="B7" s="7" t="n">
        <v>0.99</v>
      </c>
      <c r="C7" s="7" t="n">
        <v>0.21</v>
      </c>
      <c r="D7" s="7" t="n">
        <v>0.6</v>
      </c>
      <c r="E7" s="7" t="n">
        <v>0.78</v>
      </c>
      <c r="F7" s="7" t="n">
        <v>0.68</v>
      </c>
      <c r="G7" s="7" t="n">
        <v>0.38</v>
      </c>
      <c r="H7" s="7" t="n">
        <v>1.51</v>
      </c>
      <c r="I7" s="7" t="n">
        <v>0.9</v>
      </c>
      <c r="J7" s="7" t="n">
        <v>0.95</v>
      </c>
    </row>
    <row r="8">
      <c r="A8" s="6" t="inlineStr">
        <is>
          <t>Ascomycota</t>
        </is>
      </c>
      <c r="B8" s="7" t="n">
        <v>6.45</v>
      </c>
      <c r="C8" s="7" t="n">
        <v>0.78</v>
      </c>
      <c r="D8" s="7" t="n">
        <v>8.58</v>
      </c>
      <c r="E8" s="7" t="n">
        <v>2.66</v>
      </c>
      <c r="F8" s="7" t="n">
        <v>8.1</v>
      </c>
      <c r="G8" s="7" t="n">
        <v>3</v>
      </c>
      <c r="H8" s="7" t="n">
        <v>7.66</v>
      </c>
      <c r="I8" s="7" t="n">
        <v>0.87</v>
      </c>
      <c r="J8" s="7" t="n">
        <v>7.7</v>
      </c>
    </row>
    <row r="9">
      <c r="A9" s="6" t="inlineStr">
        <is>
          <t>Basidiomycota</t>
        </is>
      </c>
      <c r="B9" s="7" t="n">
        <v>14.65</v>
      </c>
      <c r="C9" s="7" t="n">
        <v>3.35</v>
      </c>
      <c r="D9" s="7" t="n">
        <v>10.78</v>
      </c>
      <c r="E9" s="7" t="n">
        <v>2.04</v>
      </c>
      <c r="F9" s="7" t="n">
        <v>13.36</v>
      </c>
      <c r="G9" s="7" t="n">
        <v>1.74</v>
      </c>
      <c r="H9" s="7" t="n">
        <v>13.83</v>
      </c>
      <c r="I9" s="7" t="n">
        <v>0.84</v>
      </c>
      <c r="J9" s="7" t="n">
        <v>13.15</v>
      </c>
    </row>
    <row r="10">
      <c r="A10" s="6" t="inlineStr">
        <is>
          <t>Mucoromycota</t>
        </is>
      </c>
      <c r="B10" s="7" t="n">
        <v>7.84</v>
      </c>
      <c r="C10" s="7" t="n">
        <v>1.61</v>
      </c>
      <c r="D10" s="7" t="n">
        <v>6.22</v>
      </c>
      <c r="E10" s="7" t="n">
        <v>0.28</v>
      </c>
      <c r="F10" s="7" t="n">
        <v>6.63</v>
      </c>
      <c r="G10" s="7" t="n">
        <v>0.67</v>
      </c>
      <c r="H10" s="7" t="n">
        <v>7.21</v>
      </c>
      <c r="I10" s="7" t="n">
        <v>0.46</v>
      </c>
      <c r="J10" s="7" t="n">
        <v>6.98</v>
      </c>
    </row>
    <row r="11">
      <c r="A11" s="6" t="inlineStr">
        <is>
          <t>Chlorophyta</t>
        </is>
      </c>
      <c r="B11" s="7" t="n">
        <v>0.99</v>
      </c>
      <c r="C11" s="7" t="n">
        <v>0.08</v>
      </c>
      <c r="D11" s="7" t="n">
        <v>1.15</v>
      </c>
      <c r="E11" s="7" t="n">
        <v>0.2</v>
      </c>
      <c r="F11" s="7" t="n">
        <v>1.1</v>
      </c>
      <c r="G11" s="7" t="n">
        <v>0.11</v>
      </c>
      <c r="H11" s="7" t="n">
        <v>0.95</v>
      </c>
      <c r="I11" s="7" t="n">
        <v>0.08</v>
      </c>
      <c r="J11" s="7" t="n">
        <v>1.05</v>
      </c>
    </row>
    <row r="12">
      <c r="A12" s="6" t="inlineStr">
        <is>
          <t>Streptophyta</t>
        </is>
      </c>
      <c r="B12" s="7" t="n">
        <v>8.27</v>
      </c>
      <c r="C12" s="7" t="n">
        <v>1.76</v>
      </c>
      <c r="D12" s="7" t="n">
        <v>9.039999999999999</v>
      </c>
      <c r="E12" s="7" t="n">
        <v>1.13</v>
      </c>
      <c r="F12" s="7" t="n">
        <v>8.210000000000001</v>
      </c>
      <c r="G12" s="7" t="n">
        <v>2.09</v>
      </c>
      <c r="H12" s="7" t="n">
        <v>8.68</v>
      </c>
      <c r="I12" s="7" t="n">
        <v>1.46</v>
      </c>
      <c r="J12" s="7" t="n">
        <v>8.550000000000001</v>
      </c>
    </row>
    <row r="13">
      <c r="A13" s="6" t="inlineStr">
        <is>
          <t>Arthropoda</t>
        </is>
      </c>
      <c r="B13" s="7" t="n">
        <v>4.13</v>
      </c>
      <c r="C13" s="7" t="n">
        <v>0.18</v>
      </c>
      <c r="D13" s="7" t="n">
        <v>5.41</v>
      </c>
      <c r="E13" s="7" t="n">
        <v>1.18</v>
      </c>
      <c r="F13" s="7" t="n">
        <v>4.89</v>
      </c>
      <c r="G13" s="7" t="n">
        <v>0.1</v>
      </c>
      <c r="H13" s="7" t="n">
        <v>5.59</v>
      </c>
      <c r="I13" s="7" t="n">
        <v>1.03</v>
      </c>
      <c r="J13" s="7" t="n">
        <v>5.01</v>
      </c>
    </row>
    <row r="14">
      <c r="A14" s="6" t="inlineStr">
        <is>
          <t>Mollusca</t>
        </is>
      </c>
      <c r="B14" s="7" t="n">
        <v>9.35</v>
      </c>
      <c r="C14" s="7" t="n">
        <v>0.34</v>
      </c>
      <c r="D14" s="7" t="n">
        <v>10.39</v>
      </c>
      <c r="E14" s="7" t="n">
        <v>1.6</v>
      </c>
      <c r="F14" s="7" t="n">
        <v>9.57</v>
      </c>
      <c r="G14" s="7" t="n">
        <v>1.4</v>
      </c>
      <c r="H14" s="7" t="n">
        <v>7.2</v>
      </c>
      <c r="I14" s="7" t="n">
        <v>0.26</v>
      </c>
      <c r="J14" s="7" t="n">
        <v>9.130000000000001</v>
      </c>
    </row>
    <row r="15">
      <c r="A15" s="6" t="inlineStr">
        <is>
          <t>Nematoda</t>
        </is>
      </c>
      <c r="B15" s="7" t="n">
        <v>0.41</v>
      </c>
      <c r="C15" s="7" t="n">
        <v>0.07000000000000001</v>
      </c>
      <c r="D15" s="7" t="n">
        <v>0.82</v>
      </c>
      <c r="E15" s="7" t="n">
        <v>0.38</v>
      </c>
      <c r="F15" s="7" t="n">
        <v>0.48</v>
      </c>
      <c r="G15" s="7" t="n">
        <v>0.12</v>
      </c>
      <c r="H15" s="7" t="n">
        <v>0.61</v>
      </c>
      <c r="I15" s="7" t="n">
        <v>0.05</v>
      </c>
      <c r="J15" s="7" t="n">
        <v>0.58</v>
      </c>
    </row>
    <row r="16">
      <c r="A16" s="6" t="inlineStr">
        <is>
          <t>Discosea</t>
        </is>
      </c>
      <c r="B16" s="7" t="n">
        <v>1.07</v>
      </c>
      <c r="C16" s="7" t="n">
        <v>0.16</v>
      </c>
      <c r="D16" s="7" t="n">
        <v>0.97</v>
      </c>
      <c r="E16" s="7" t="n">
        <v>0.27</v>
      </c>
      <c r="F16" s="7" t="n">
        <v>1.25</v>
      </c>
      <c r="G16" s="7" t="n">
        <v>0.11</v>
      </c>
      <c r="H16" s="7" t="n">
        <v>0.96</v>
      </c>
      <c r="I16" s="7" t="n">
        <v>0.16</v>
      </c>
      <c r="J16" s="7" t="n">
        <v>1.06</v>
      </c>
    </row>
    <row r="17">
      <c r="A17" s="6" t="inlineStr">
        <is>
          <t>Evosea</t>
        </is>
      </c>
      <c r="B17" s="7" t="n">
        <v>1.28</v>
      </c>
      <c r="C17" s="7" t="n">
        <v>0.04</v>
      </c>
      <c r="D17" s="7" t="n">
        <v>1.4</v>
      </c>
      <c r="E17" s="7" t="n">
        <v>0.44</v>
      </c>
      <c r="F17" s="7" t="n">
        <v>1.34</v>
      </c>
      <c r="G17" s="7" t="n">
        <v>0.2</v>
      </c>
      <c r="H17" s="7" t="n">
        <v>1.07</v>
      </c>
      <c r="I17" s="7" t="n">
        <v>0.08</v>
      </c>
      <c r="J17" s="7" t="n">
        <v>1.27</v>
      </c>
    </row>
    <row r="18">
      <c r="A18" s="6" t="inlineStr">
        <is>
          <t>Heterolobosea</t>
        </is>
      </c>
      <c r="B18" s="7" t="n">
        <v>1.59</v>
      </c>
      <c r="C18" s="7" t="n">
        <v>0.08</v>
      </c>
      <c r="D18" s="7" t="n">
        <v>2.17</v>
      </c>
      <c r="E18" s="7" t="n">
        <v>0.31</v>
      </c>
      <c r="F18" s="7" t="n">
        <v>1.58</v>
      </c>
      <c r="G18" s="7" t="n">
        <v>0.08</v>
      </c>
      <c r="H18" s="7" t="n">
        <v>1.75</v>
      </c>
      <c r="I18" s="7" t="n">
        <v>0.07000000000000001</v>
      </c>
      <c r="J18" s="7" t="n">
        <v>1.77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3" customWidth="1" min="4" max="4"/>
    <col width="15" customWidth="1" min="5" max="5"/>
    <col width="10" customWidth="1" min="6" max="6"/>
    <col width="15" customWidth="1" min="7" max="7"/>
    <col width="13" customWidth="1" min="8" max="8"/>
    <col width="10" customWidth="1" min="9" max="9"/>
  </cols>
  <sheetData>
    <row r="1">
      <c r="A1" s="4" t="inlineStr">
        <is>
          <t>Supplementary Table S8c. Treatment effects - CLR fingerprint-set permutation tests</t>
        </is>
      </c>
    </row>
    <row r="2">
      <c r="A2" s="3" t="inlineStr">
        <is>
          <t>Per-phylum fingerprint-set effects for the drought and climate contrasts (400 stratified CLR relabelings). log2FC = set-mean log2 fold change; p_perm two-sided; p_one_sided in the observed direction; q = Benjamini-Hochberg within factor.</t>
        </is>
      </c>
    </row>
    <row r="3">
      <c r="A3" s="5" t="inlineStr">
        <is>
          <t>Factor</t>
        </is>
      </c>
      <c r="B3" s="5" t="inlineStr">
        <is>
          <t>Phylum</t>
        </is>
      </c>
      <c r="C3" s="5" t="inlineStr">
        <is>
          <t>Kingdom</t>
        </is>
      </c>
      <c r="D3" s="5" t="inlineStr">
        <is>
          <t>n set features</t>
        </is>
      </c>
      <c r="E3" s="5" t="inlineStr">
        <is>
          <t>set-mean log2FC</t>
        </is>
      </c>
      <c r="F3" s="5" t="inlineStr">
        <is>
          <t>direction</t>
        </is>
      </c>
      <c r="G3" s="5" t="inlineStr">
        <is>
          <t>p_perm (2-sided)</t>
        </is>
      </c>
      <c r="H3" s="5" t="inlineStr">
        <is>
          <t>p one-sided</t>
        </is>
      </c>
      <c r="I3" s="5" t="inlineStr">
        <is>
          <t>q (BH)</t>
        </is>
      </c>
    </row>
    <row r="4">
      <c r="A4" s="8" t="inlineStr">
        <is>
          <t>climate</t>
        </is>
      </c>
      <c r="B4" s="8" t="inlineStr">
        <is>
          <t>Actinomycetota</t>
        </is>
      </c>
      <c r="C4" s="8" t="inlineStr">
        <is>
          <t>Bacteria</t>
        </is>
      </c>
      <c r="D4" s="8" t="n">
        <v>45</v>
      </c>
      <c r="E4" s="9" t="n">
        <v>-0.277</v>
      </c>
      <c r="F4" s="8" t="inlineStr">
        <is>
          <t>down</t>
        </is>
      </c>
      <c r="G4" s="10" t="n">
        <v>0.365</v>
      </c>
      <c r="H4" s="10" t="n">
        <v>0.1825</v>
      </c>
      <c r="I4" s="10" t="n">
        <v>0.9257</v>
      </c>
    </row>
    <row r="5">
      <c r="A5" s="8" t="inlineStr">
        <is>
          <t>climate</t>
        </is>
      </c>
      <c r="B5" s="8" t="inlineStr">
        <is>
          <t>Arthropoda</t>
        </is>
      </c>
      <c r="C5" s="8" t="inlineStr">
        <is>
          <t>Animalia</t>
        </is>
      </c>
      <c r="D5" s="8" t="n">
        <v>90</v>
      </c>
      <c r="E5" s="9" t="n">
        <v>-0.017</v>
      </c>
      <c r="F5" s="8" t="inlineStr">
        <is>
          <t>down</t>
        </is>
      </c>
      <c r="G5" s="10" t="n">
        <v>0.805</v>
      </c>
      <c r="H5" s="10" t="n">
        <v>0.4025</v>
      </c>
      <c r="I5" s="10" t="n">
        <v>0.9257</v>
      </c>
    </row>
    <row r="6">
      <c r="A6" s="8" t="inlineStr">
        <is>
          <t>climate</t>
        </is>
      </c>
      <c r="B6" s="8" t="inlineStr">
        <is>
          <t>Ascomycota</t>
        </is>
      </c>
      <c r="C6" s="8" t="inlineStr">
        <is>
          <t>Fungi</t>
        </is>
      </c>
      <c r="D6" s="8" t="n">
        <v>64</v>
      </c>
      <c r="E6" s="9" t="n">
        <v>0.155</v>
      </c>
      <c r="F6" s="8" t="inlineStr">
        <is>
          <t>up</t>
        </is>
      </c>
      <c r="G6" s="10" t="n">
        <v>0.305</v>
      </c>
      <c r="H6" s="10" t="n">
        <v>0.1525</v>
      </c>
      <c r="I6" s="10" t="n">
        <v>0.9257</v>
      </c>
    </row>
    <row r="7">
      <c r="A7" s="8" t="inlineStr">
        <is>
          <t>climate</t>
        </is>
      </c>
      <c r="B7" s="8" t="inlineStr">
        <is>
          <t>Bacillota</t>
        </is>
      </c>
      <c r="C7" s="8" t="inlineStr">
        <is>
          <t>Bacteria</t>
        </is>
      </c>
      <c r="D7" s="8" t="n">
        <v>29</v>
      </c>
      <c r="E7" s="9" t="n">
        <v>-0.07199999999999999</v>
      </c>
      <c r="F7" s="8" t="inlineStr">
        <is>
          <t>down</t>
        </is>
      </c>
      <c r="G7" s="10" t="n">
        <v>0.485</v>
      </c>
      <c r="H7" s="10" t="n">
        <v>0.2425</v>
      </c>
      <c r="I7" s="10" t="n">
        <v>0.9257</v>
      </c>
    </row>
    <row r="8">
      <c r="A8" s="8" t="inlineStr">
        <is>
          <t>climate</t>
        </is>
      </c>
      <c r="B8" s="8" t="inlineStr">
        <is>
          <t>Basidiomycota</t>
        </is>
      </c>
      <c r="C8" s="8" t="inlineStr">
        <is>
          <t>Fungi</t>
        </is>
      </c>
      <c r="D8" s="8" t="n">
        <v>126</v>
      </c>
      <c r="E8" s="9" t="n">
        <v>0.066</v>
      </c>
      <c r="F8" s="8" t="inlineStr">
        <is>
          <t>up</t>
        </is>
      </c>
      <c r="G8" s="10" t="n">
        <v>0.605</v>
      </c>
      <c r="H8" s="10" t="n">
        <v>0.3025</v>
      </c>
      <c r="I8" s="10" t="n">
        <v>0.9257</v>
      </c>
    </row>
    <row r="9">
      <c r="A9" s="8" t="inlineStr">
        <is>
          <t>climate</t>
        </is>
      </c>
      <c r="B9" s="8" t="inlineStr">
        <is>
          <t>Chlorophyta</t>
        </is>
      </c>
      <c r="C9" s="8" t="inlineStr">
        <is>
          <t>Viridiplantae</t>
        </is>
      </c>
      <c r="D9" s="8" t="n">
        <v>115</v>
      </c>
      <c r="E9" s="9" t="n">
        <v>-0.08400000000000001</v>
      </c>
      <c r="F9" s="8" t="inlineStr">
        <is>
          <t>down</t>
        </is>
      </c>
      <c r="G9" s="10" t="n">
        <v>0.475</v>
      </c>
      <c r="H9" s="10" t="n">
        <v>0.2375</v>
      </c>
      <c r="I9" s="10" t="n">
        <v>0.9257</v>
      </c>
    </row>
    <row r="10">
      <c r="A10" s="8" t="inlineStr">
        <is>
          <t>climate</t>
        </is>
      </c>
      <c r="B10" s="8" t="inlineStr">
        <is>
          <t>Discosea</t>
        </is>
      </c>
      <c r="C10" s="8" t="inlineStr">
        <is>
          <t>Protists</t>
        </is>
      </c>
      <c r="D10" s="8" t="n">
        <v>52</v>
      </c>
      <c r="E10" s="9" t="n">
        <v>0.035</v>
      </c>
      <c r="F10" s="8" t="inlineStr">
        <is>
          <t>up</t>
        </is>
      </c>
      <c r="G10" s="10" t="n">
        <v>0.9</v>
      </c>
      <c r="H10" s="10" t="n">
        <v>0.5525</v>
      </c>
      <c r="I10" s="10" t="n">
        <v>0.9350000000000001</v>
      </c>
    </row>
    <row r="11">
      <c r="A11" s="8" t="inlineStr">
        <is>
          <t>climate</t>
        </is>
      </c>
      <c r="B11" s="8" t="inlineStr">
        <is>
          <t>Evosea</t>
        </is>
      </c>
      <c r="C11" s="8" t="inlineStr">
        <is>
          <t>Protists</t>
        </is>
      </c>
      <c r="D11" s="8" t="n">
        <v>54</v>
      </c>
      <c r="E11" s="9" t="n">
        <v>-0.008999999999999999</v>
      </c>
      <c r="F11" s="8" t="inlineStr">
        <is>
          <t>down</t>
        </is>
      </c>
      <c r="G11" s="10" t="n">
        <v>0.695</v>
      </c>
      <c r="H11" s="10" t="n">
        <v>0.3475</v>
      </c>
      <c r="I11" s="10" t="n">
        <v>0.9257</v>
      </c>
    </row>
    <row r="12">
      <c r="A12" s="8" t="inlineStr">
        <is>
          <t>climate</t>
        </is>
      </c>
      <c r="B12" s="8" t="inlineStr">
        <is>
          <t>Heterolobosea</t>
        </is>
      </c>
      <c r="C12" s="8" t="inlineStr">
        <is>
          <t>Protists</t>
        </is>
      </c>
      <c r="D12" s="8" t="n">
        <v>86</v>
      </c>
      <c r="E12" s="9" t="n">
        <v>-0.144</v>
      </c>
      <c r="F12" s="8" t="inlineStr">
        <is>
          <t>down</t>
        </is>
      </c>
      <c r="G12" s="10" t="n">
        <v>0.55</v>
      </c>
      <c r="H12" s="10" t="n">
        <v>0.275</v>
      </c>
      <c r="I12" s="10" t="n">
        <v>0.9257</v>
      </c>
    </row>
    <row r="13">
      <c r="A13" s="8" t="inlineStr">
        <is>
          <t>climate</t>
        </is>
      </c>
      <c r="B13" s="8" t="inlineStr">
        <is>
          <t>Methanobacteriota</t>
        </is>
      </c>
      <c r="C13" s="8" t="inlineStr">
        <is>
          <t>Archaea</t>
        </is>
      </c>
      <c r="D13" s="8" t="n">
        <v>22</v>
      </c>
      <c r="E13" s="9" t="n">
        <v>0.049</v>
      </c>
      <c r="F13" s="8" t="inlineStr">
        <is>
          <t>up</t>
        </is>
      </c>
      <c r="G13" s="10" t="n">
        <v>0.9350000000000001</v>
      </c>
      <c r="H13" s="10" t="n">
        <v>0.4675</v>
      </c>
      <c r="I13" s="10" t="n">
        <v>0.9350000000000001</v>
      </c>
    </row>
    <row r="14">
      <c r="A14" s="8" t="inlineStr">
        <is>
          <t>climate</t>
        </is>
      </c>
      <c r="B14" s="8" t="inlineStr">
        <is>
          <t>Mollusca</t>
        </is>
      </c>
      <c r="C14" s="8" t="inlineStr">
        <is>
          <t>Animalia</t>
        </is>
      </c>
      <c r="D14" s="8" t="n">
        <v>46</v>
      </c>
      <c r="E14" s="9" t="n">
        <v>-0.08</v>
      </c>
      <c r="F14" s="8" t="inlineStr">
        <is>
          <t>down</t>
        </is>
      </c>
      <c r="G14" s="10" t="n">
        <v>0.8100000000000001</v>
      </c>
      <c r="H14" s="10" t="n">
        <v>0.405</v>
      </c>
      <c r="I14" s="10" t="n">
        <v>0.9257</v>
      </c>
    </row>
    <row r="15">
      <c r="A15" s="8" t="inlineStr">
        <is>
          <t>climate</t>
        </is>
      </c>
      <c r="B15" s="8" t="inlineStr">
        <is>
          <t>Mucoromycota</t>
        </is>
      </c>
      <c r="C15" s="8" t="inlineStr">
        <is>
          <t>Fungi</t>
        </is>
      </c>
      <c r="D15" s="8" t="n">
        <v>59</v>
      </c>
      <c r="E15" s="9" t="n">
        <v>0.046</v>
      </c>
      <c r="F15" s="8" t="inlineStr">
        <is>
          <t>up</t>
        </is>
      </c>
      <c r="G15" s="10" t="n">
        <v>0.575</v>
      </c>
      <c r="H15" s="10" t="n">
        <v>0.2875</v>
      </c>
      <c r="I15" s="10" t="n">
        <v>0.9257</v>
      </c>
    </row>
    <row r="16">
      <c r="A16" s="8" t="inlineStr">
        <is>
          <t>climate</t>
        </is>
      </c>
      <c r="B16" s="8" t="inlineStr">
        <is>
          <t>Nematoda</t>
        </is>
      </c>
      <c r="C16" s="8" t="inlineStr">
        <is>
          <t>Animalia</t>
        </is>
      </c>
      <c r="D16" s="8" t="n">
        <v>45</v>
      </c>
      <c r="E16" s="9" t="n">
        <v>-0.164</v>
      </c>
      <c r="F16" s="8" t="inlineStr">
        <is>
          <t>down</t>
        </is>
      </c>
      <c r="G16" s="10" t="n">
        <v>0.335</v>
      </c>
      <c r="H16" s="10" t="n">
        <v>0.1675</v>
      </c>
      <c r="I16" s="10" t="n">
        <v>0.9257</v>
      </c>
    </row>
    <row r="17">
      <c r="A17" s="8" t="inlineStr">
        <is>
          <t>climate</t>
        </is>
      </c>
      <c r="B17" s="8" t="inlineStr">
        <is>
          <t>Pseudomonadota</t>
        </is>
      </c>
      <c r="C17" s="8" t="inlineStr">
        <is>
          <t>Bacteria</t>
        </is>
      </c>
      <c r="D17" s="8" t="n">
        <v>36</v>
      </c>
      <c r="E17" s="9" t="n">
        <v>-0.091</v>
      </c>
      <c r="F17" s="8" t="inlineStr">
        <is>
          <t>down</t>
        </is>
      </c>
      <c r="G17" s="10" t="n">
        <v>0.555</v>
      </c>
      <c r="H17" s="10" t="n">
        <v>0.2775</v>
      </c>
      <c r="I17" s="10" t="n">
        <v>0.9257</v>
      </c>
    </row>
    <row r="18">
      <c r="A18" s="8" t="inlineStr">
        <is>
          <t>climate</t>
        </is>
      </c>
      <c r="B18" s="8" t="inlineStr">
        <is>
          <t>Streptophyta</t>
        </is>
      </c>
      <c r="C18" s="8" t="inlineStr">
        <is>
          <t>Viridiplantae</t>
        </is>
      </c>
      <c r="D18" s="8" t="n">
        <v>136</v>
      </c>
      <c r="E18" s="9" t="n">
        <v>0.042</v>
      </c>
      <c r="F18" s="8" t="inlineStr">
        <is>
          <t>up</t>
        </is>
      </c>
      <c r="G18" s="10" t="n">
        <v>0.76</v>
      </c>
      <c r="H18" s="10" t="n">
        <v>0.38</v>
      </c>
      <c r="I18" s="10" t="n">
        <v>0.9257</v>
      </c>
    </row>
    <row r="19">
      <c r="A19" s="8" t="inlineStr">
        <is>
          <t>climate</t>
        </is>
      </c>
      <c r="B19" s="8" t="inlineStr">
        <is>
          <t>Thermoproteota</t>
        </is>
      </c>
      <c r="C19" s="8" t="inlineStr">
        <is>
          <t>Archaea</t>
        </is>
      </c>
      <c r="D19" s="8" t="n">
        <v>27</v>
      </c>
      <c r="E19" s="9" t="n">
        <v>0.236</v>
      </c>
      <c r="F19" s="8" t="inlineStr">
        <is>
          <t>up</t>
        </is>
      </c>
      <c r="G19" s="10" t="n">
        <v>0.585</v>
      </c>
      <c r="H19" s="10" t="n">
        <v>0.2925</v>
      </c>
      <c r="I19" s="10" t="n">
        <v>0.9257</v>
      </c>
    </row>
    <row r="20">
      <c r="A20" s="8" t="inlineStr">
        <is>
          <t>drought</t>
        </is>
      </c>
      <c r="B20" s="8" t="inlineStr">
        <is>
          <t>Actinomycetota</t>
        </is>
      </c>
      <c r="C20" s="8" t="inlineStr">
        <is>
          <t>Bacteria</t>
        </is>
      </c>
      <c r="D20" s="8" t="n">
        <v>45</v>
      </c>
      <c r="E20" s="9" t="n">
        <v>0.383</v>
      </c>
      <c r="F20" s="8" t="inlineStr">
        <is>
          <t>up</t>
        </is>
      </c>
      <c r="G20" s="10" t="n">
        <v>0.405</v>
      </c>
      <c r="H20" s="10" t="n">
        <v>0.2025</v>
      </c>
      <c r="I20" s="10" t="n">
        <v>0.97</v>
      </c>
    </row>
    <row r="21">
      <c r="A21" s="8" t="inlineStr">
        <is>
          <t>drought</t>
        </is>
      </c>
      <c r="B21" s="8" t="inlineStr">
        <is>
          <t>Arthropoda</t>
        </is>
      </c>
      <c r="C21" s="8" t="inlineStr">
        <is>
          <t>Animalia</t>
        </is>
      </c>
      <c r="D21" s="8" t="n">
        <v>90</v>
      </c>
      <c r="E21" s="9" t="n">
        <v>-0.036</v>
      </c>
      <c r="F21" s="8" t="inlineStr">
        <is>
          <t>down</t>
        </is>
      </c>
      <c r="G21" s="10" t="n">
        <v>0.77</v>
      </c>
      <c r="H21" s="10" t="n">
        <v>0.385</v>
      </c>
      <c r="I21" s="10" t="n">
        <v>0.97</v>
      </c>
    </row>
    <row r="22">
      <c r="A22" s="8" t="inlineStr">
        <is>
          <t>drought</t>
        </is>
      </c>
      <c r="B22" s="8" t="inlineStr">
        <is>
          <t>Ascomycota</t>
        </is>
      </c>
      <c r="C22" s="8" t="inlineStr">
        <is>
          <t>Fungi</t>
        </is>
      </c>
      <c r="D22" s="8" t="n">
        <v>64</v>
      </c>
      <c r="E22" s="9" t="n">
        <v>-0.196</v>
      </c>
      <c r="F22" s="8" t="inlineStr">
        <is>
          <t>down</t>
        </is>
      </c>
      <c r="G22" s="10" t="n">
        <v>0.46</v>
      </c>
      <c r="H22" s="10" t="n">
        <v>0.23</v>
      </c>
      <c r="I22" s="10" t="n">
        <v>0.97</v>
      </c>
    </row>
    <row r="23">
      <c r="A23" s="8" t="inlineStr">
        <is>
          <t>drought</t>
        </is>
      </c>
      <c r="B23" s="8" t="inlineStr">
        <is>
          <t>Bacillota</t>
        </is>
      </c>
      <c r="C23" s="8" t="inlineStr">
        <is>
          <t>Bacteria</t>
        </is>
      </c>
      <c r="D23" s="8" t="n">
        <v>29</v>
      </c>
      <c r="E23" s="9" t="n">
        <v>0.245</v>
      </c>
      <c r="F23" s="8" t="inlineStr">
        <is>
          <t>up</t>
        </is>
      </c>
      <c r="G23" s="10" t="n">
        <v>0.97</v>
      </c>
      <c r="H23" s="10" t="n">
        <v>0.5175</v>
      </c>
      <c r="I23" s="10" t="n">
        <v>0.97</v>
      </c>
    </row>
    <row r="24">
      <c r="A24" s="8" t="inlineStr">
        <is>
          <t>drought</t>
        </is>
      </c>
      <c r="B24" s="8" t="inlineStr">
        <is>
          <t>Basidiomycota</t>
        </is>
      </c>
      <c r="C24" s="8" t="inlineStr">
        <is>
          <t>Fungi</t>
        </is>
      </c>
      <c r="D24" s="8" t="n">
        <v>126</v>
      </c>
      <c r="E24" s="9" t="n">
        <v>-0.08599999999999999</v>
      </c>
      <c r="F24" s="8" t="inlineStr">
        <is>
          <t>down</t>
        </is>
      </c>
      <c r="G24" s="10" t="n">
        <v>0.77</v>
      </c>
      <c r="H24" s="10" t="n">
        <v>0.385</v>
      </c>
      <c r="I24" s="10" t="n">
        <v>0.97</v>
      </c>
    </row>
    <row r="25">
      <c r="A25" s="8" t="inlineStr">
        <is>
          <t>drought</t>
        </is>
      </c>
      <c r="B25" s="8" t="inlineStr">
        <is>
          <t>Chlorophyta</t>
        </is>
      </c>
      <c r="C25" s="8" t="inlineStr">
        <is>
          <t>Viridiplantae</t>
        </is>
      </c>
      <c r="D25" s="8" t="n">
        <v>115</v>
      </c>
      <c r="E25" s="9" t="n">
        <v>0.113</v>
      </c>
      <c r="F25" s="8" t="inlineStr">
        <is>
          <t>up</t>
        </is>
      </c>
      <c r="G25" s="10" t="n">
        <v>0.51</v>
      </c>
      <c r="H25" s="10" t="n">
        <v>0.255</v>
      </c>
      <c r="I25" s="10" t="n">
        <v>0.97</v>
      </c>
    </row>
    <row r="26">
      <c r="A26" s="8" t="inlineStr">
        <is>
          <t>drought</t>
        </is>
      </c>
      <c r="B26" s="8" t="inlineStr">
        <is>
          <t>Discosea</t>
        </is>
      </c>
      <c r="C26" s="8" t="inlineStr">
        <is>
          <t>Protists</t>
        </is>
      </c>
      <c r="D26" s="8" t="n">
        <v>52</v>
      </c>
      <c r="E26" s="9" t="n">
        <v>-0.353</v>
      </c>
      <c r="F26" s="8" t="inlineStr">
        <is>
          <t>down</t>
        </is>
      </c>
      <c r="G26" s="10" t="n">
        <v>0.125</v>
      </c>
      <c r="H26" s="10" t="n">
        <v>0.0625</v>
      </c>
      <c r="I26" s="10" t="n">
        <v>0.6667</v>
      </c>
    </row>
    <row r="27">
      <c r="A27" s="8" t="inlineStr">
        <is>
          <t>drought</t>
        </is>
      </c>
      <c r="B27" s="8" t="inlineStr">
        <is>
          <t>Evosea</t>
        </is>
      </c>
      <c r="C27" s="8" t="inlineStr">
        <is>
          <t>Protists</t>
        </is>
      </c>
      <c r="D27" s="8" t="n">
        <v>54</v>
      </c>
      <c r="E27" s="9" t="n">
        <v>-0.409</v>
      </c>
      <c r="F27" s="8" t="inlineStr">
        <is>
          <t>down</t>
        </is>
      </c>
      <c r="G27" s="10" t="n">
        <v>0.05</v>
      </c>
      <c r="H27" s="10" t="n">
        <v>0.025</v>
      </c>
      <c r="I27" s="10" t="n">
        <v>0.4</v>
      </c>
    </row>
    <row r="28">
      <c r="A28" s="8" t="inlineStr">
        <is>
          <t>drought</t>
        </is>
      </c>
      <c r="B28" s="8" t="inlineStr">
        <is>
          <t>Heterolobosea</t>
        </is>
      </c>
      <c r="C28" s="8" t="inlineStr">
        <is>
          <t>Protists</t>
        </is>
      </c>
      <c r="D28" s="8" t="n">
        <v>86</v>
      </c>
      <c r="E28" s="9" t="n">
        <v>-0.058</v>
      </c>
      <c r="F28" s="8" t="inlineStr">
        <is>
          <t>down</t>
        </is>
      </c>
      <c r="G28" s="10" t="n">
        <v>0.34</v>
      </c>
      <c r="H28" s="10" t="n">
        <v>0.17</v>
      </c>
      <c r="I28" s="10" t="n">
        <v>0.97</v>
      </c>
    </row>
    <row r="29">
      <c r="A29" s="8" t="inlineStr">
        <is>
          <t>drought</t>
        </is>
      </c>
      <c r="B29" s="8" t="inlineStr">
        <is>
          <t>Methanobacteriota</t>
        </is>
      </c>
      <c r="C29" s="8" t="inlineStr">
        <is>
          <t>Archaea</t>
        </is>
      </c>
      <c r="D29" s="8" t="n">
        <v>22</v>
      </c>
      <c r="E29" s="9" t="n">
        <v>0.12</v>
      </c>
      <c r="F29" s="8" t="inlineStr">
        <is>
          <t>up</t>
        </is>
      </c>
      <c r="G29" s="10" t="n">
        <v>0.795</v>
      </c>
      <c r="H29" s="10" t="n">
        <v>0.605</v>
      </c>
      <c r="I29" s="10" t="n">
        <v>0.97</v>
      </c>
    </row>
    <row r="30">
      <c r="A30" s="8" t="inlineStr">
        <is>
          <t>drought</t>
        </is>
      </c>
      <c r="B30" s="8" t="inlineStr">
        <is>
          <t>Mollusca</t>
        </is>
      </c>
      <c r="C30" s="8" t="inlineStr">
        <is>
          <t>Animalia</t>
        </is>
      </c>
      <c r="D30" s="8" t="n">
        <v>46</v>
      </c>
      <c r="E30" s="9" t="n">
        <v>-0.078</v>
      </c>
      <c r="F30" s="8" t="inlineStr">
        <is>
          <t>down</t>
        </is>
      </c>
      <c r="G30" s="10" t="n">
        <v>0.795</v>
      </c>
      <c r="H30" s="10" t="n">
        <v>0.3975</v>
      </c>
      <c r="I30" s="10" t="n">
        <v>0.97</v>
      </c>
    </row>
    <row r="31">
      <c r="A31" s="8" t="inlineStr">
        <is>
          <t>drought</t>
        </is>
      </c>
      <c r="B31" s="8" t="inlineStr">
        <is>
          <t>Mucoromycota</t>
        </is>
      </c>
      <c r="C31" s="8" t="inlineStr">
        <is>
          <t>Fungi</t>
        </is>
      </c>
      <c r="D31" s="8" t="n">
        <v>59</v>
      </c>
      <c r="E31" s="9" t="n">
        <v>0.045</v>
      </c>
      <c r="F31" s="8" t="inlineStr">
        <is>
          <t>up</t>
        </is>
      </c>
      <c r="G31" s="10" t="n">
        <v>0.895</v>
      </c>
      <c r="H31" s="10" t="n">
        <v>0.555</v>
      </c>
      <c r="I31" s="10" t="n">
        <v>0.97</v>
      </c>
    </row>
    <row r="32">
      <c r="A32" s="8" t="inlineStr">
        <is>
          <t>drought</t>
        </is>
      </c>
      <c r="B32" s="8" t="inlineStr">
        <is>
          <t>Nematoda</t>
        </is>
      </c>
      <c r="C32" s="8" t="inlineStr">
        <is>
          <t>Animalia</t>
        </is>
      </c>
      <c r="D32" s="8" t="n">
        <v>45</v>
      </c>
      <c r="E32" s="9" t="n">
        <v>0.042</v>
      </c>
      <c r="F32" s="8" t="inlineStr">
        <is>
          <t>up</t>
        </is>
      </c>
      <c r="G32" s="10" t="n">
        <v>0.915</v>
      </c>
      <c r="H32" s="10" t="n">
        <v>0.4575</v>
      </c>
      <c r="I32" s="10" t="n">
        <v>0.97</v>
      </c>
    </row>
    <row r="33">
      <c r="A33" s="8" t="inlineStr">
        <is>
          <t>drought</t>
        </is>
      </c>
      <c r="B33" s="8" t="inlineStr">
        <is>
          <t>Pseudomonadota</t>
        </is>
      </c>
      <c r="C33" s="8" t="inlineStr">
        <is>
          <t>Bacteria</t>
        </is>
      </c>
      <c r="D33" s="8" t="n">
        <v>36</v>
      </c>
      <c r="E33" s="9" t="n">
        <v>-0.595</v>
      </c>
      <c r="F33" s="8" t="inlineStr">
        <is>
          <t>down</t>
        </is>
      </c>
      <c r="G33" s="10" t="n">
        <v>0.005</v>
      </c>
      <c r="H33" s="10" t="n">
        <v>0.0025</v>
      </c>
      <c r="I33" s="10" t="n">
        <v>0.08</v>
      </c>
    </row>
    <row r="34">
      <c r="A34" s="8" t="inlineStr">
        <is>
          <t>drought</t>
        </is>
      </c>
      <c r="B34" s="8" t="inlineStr">
        <is>
          <t>Streptophyta</t>
        </is>
      </c>
      <c r="C34" s="8" t="inlineStr">
        <is>
          <t>Viridiplantae</t>
        </is>
      </c>
      <c r="D34" s="8" t="n">
        <v>136</v>
      </c>
      <c r="E34" s="9" t="n">
        <v>0.222</v>
      </c>
      <c r="F34" s="8" t="inlineStr">
        <is>
          <t>up</t>
        </is>
      </c>
      <c r="G34" s="10" t="n">
        <v>0.5</v>
      </c>
      <c r="H34" s="10" t="n">
        <v>0.25</v>
      </c>
      <c r="I34" s="10" t="n">
        <v>0.97</v>
      </c>
    </row>
    <row r="35">
      <c r="A35" s="8" t="inlineStr">
        <is>
          <t>drought</t>
        </is>
      </c>
      <c r="B35" s="8" t="inlineStr">
        <is>
          <t>Thermoproteota</t>
        </is>
      </c>
      <c r="C35" s="8" t="inlineStr">
        <is>
          <t>Archaea</t>
        </is>
      </c>
      <c r="D35" s="8" t="n">
        <v>27</v>
      </c>
      <c r="E35" s="9" t="n">
        <v>-0.065</v>
      </c>
      <c r="F35" s="8" t="inlineStr">
        <is>
          <t>down</t>
        </is>
      </c>
      <c r="G35" s="10" t="n">
        <v>0.87</v>
      </c>
      <c r="H35" s="10" t="n">
        <v>0.5675</v>
      </c>
      <c r="I35" s="10" t="n">
        <v>0.97</v>
      </c>
    </row>
    <row r="37">
      <c r="A37" s="6" t="inlineStr">
        <is>
          <t>qSIP replication family (pre-specified directional test, Metze et al. 2023)</t>
        </is>
      </c>
    </row>
    <row r="38">
      <c r="A38" s="5" t="inlineStr">
        <is>
          <t>Phylum</t>
        </is>
      </c>
      <c r="B38" s="5" t="inlineStr">
        <is>
          <t>predicted direction</t>
        </is>
      </c>
      <c r="C38" s="5" t="inlineStr">
        <is>
          <t>observed log2FC</t>
        </is>
      </c>
      <c r="D38" s="5" t="inlineStr">
        <is>
          <t>p one-sided</t>
        </is>
      </c>
      <c r="E38" s="5" t="inlineStr">
        <is>
          <t>q (BH, family=2)</t>
        </is>
      </c>
    </row>
    <row r="39">
      <c r="A39" s="8" t="inlineStr">
        <is>
          <t>Pseudomonadota</t>
        </is>
      </c>
      <c r="B39" s="8" t="inlineStr">
        <is>
          <t>decrease</t>
        </is>
      </c>
      <c r="C39" s="9" t="n">
        <v>-0.595</v>
      </c>
      <c r="D39" s="10" t="n">
        <v>0.0025</v>
      </c>
      <c r="E39" s="10" t="n">
        <v>0.005</v>
      </c>
    </row>
    <row r="40">
      <c r="A40" s="8" t="inlineStr">
        <is>
          <t>Actinomycetota</t>
        </is>
      </c>
      <c r="B40" s="8" t="inlineStr">
        <is>
          <t>increase</t>
        </is>
      </c>
      <c r="C40" s="9" t="n">
        <v>0.383</v>
      </c>
      <c r="D40" s="10" t="n">
        <v>0.2025</v>
      </c>
      <c r="E40" s="10" t="n">
        <v>0.2025</v>
      </c>
    </row>
  </sheetData>
  <mergeCells count="3">
    <mergeCell ref="A1:I1"/>
    <mergeCell ref="A37:I37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9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1" customWidth="1" min="27" max="27"/>
  </cols>
  <sheetData>
    <row r="1">
      <c r="A1" s="4" t="inlineStr">
        <is>
          <t>Supplementary Table S8d. Per-sample composition - fc-weighted (primary), fractions 0-1</t>
        </is>
      </c>
    </row>
    <row r="2">
      <c r="A2" s="5" t="inlineStr">
        <is>
          <t>column_name</t>
        </is>
      </c>
      <c r="B2" s="5" t="inlineStr">
        <is>
          <t>treatment</t>
        </is>
      </c>
      <c r="C2" s="5" t="inlineStr">
        <is>
          <t>climate</t>
        </is>
      </c>
      <c r="D2" s="5" t="inlineStr">
        <is>
          <t>drought</t>
        </is>
      </c>
      <c r="E2" s="5" t="inlineStr">
        <is>
          <t>Bacteria</t>
        </is>
      </c>
      <c r="F2" s="5" t="inlineStr">
        <is>
          <t>Archaea</t>
        </is>
      </c>
      <c r="G2" s="5" t="inlineStr">
        <is>
          <t>Fungi</t>
        </is>
      </c>
      <c r="H2" s="5" t="inlineStr">
        <is>
          <t>Viridiplantae</t>
        </is>
      </c>
      <c r="I2" s="5" t="inlineStr">
        <is>
          <t>Animalia</t>
        </is>
      </c>
      <c r="J2" s="5" t="inlineStr">
        <is>
          <t>Protists</t>
        </is>
      </c>
      <c r="K2" s="5" t="inlineStr">
        <is>
          <t>Actinomycetota</t>
        </is>
      </c>
      <c r="L2" s="5" t="inlineStr">
        <is>
          <t>Bacillota</t>
        </is>
      </c>
      <c r="M2" s="5" t="inlineStr">
        <is>
          <t>Pseudomonadota</t>
        </is>
      </c>
      <c r="N2" s="5" t="inlineStr">
        <is>
          <t>Methanobacteriota</t>
        </is>
      </c>
      <c r="O2" s="5" t="inlineStr">
        <is>
          <t>Thermoproteota</t>
        </is>
      </c>
      <c r="P2" s="5" t="inlineStr">
        <is>
          <t>Ascomycota</t>
        </is>
      </c>
      <c r="Q2" s="5" t="inlineStr">
        <is>
          <t>Basidiomycota</t>
        </is>
      </c>
      <c r="R2" s="5" t="inlineStr">
        <is>
          <t>Mucoromycota</t>
        </is>
      </c>
      <c r="S2" s="5" t="inlineStr">
        <is>
          <t>Chlorophyta</t>
        </is>
      </c>
      <c r="T2" s="5" t="inlineStr">
        <is>
          <t>Streptophyta</t>
        </is>
      </c>
      <c r="U2" s="5" t="inlineStr">
        <is>
          <t>Arthropoda</t>
        </is>
      </c>
      <c r="V2" s="5" t="inlineStr">
        <is>
          <t>Mollusca</t>
        </is>
      </c>
      <c r="W2" s="5" t="inlineStr">
        <is>
          <t>Nematoda</t>
        </is>
      </c>
      <c r="X2" s="5" t="inlineStr">
        <is>
          <t>Discosea</t>
        </is>
      </c>
      <c r="Y2" s="5" t="inlineStr">
        <is>
          <t>Evosea</t>
        </is>
      </c>
      <c r="Z2" s="5" t="inlineStr">
        <is>
          <t>Heterolobosea</t>
        </is>
      </c>
      <c r="AA2" s="5" t="inlineStr">
        <is>
          <t>Sum check</t>
        </is>
      </c>
    </row>
    <row r="3">
      <c r="A3" s="8" t="inlineStr">
        <is>
          <t>OE12-3-49POS.raw Peak area</t>
        </is>
      </c>
      <c r="B3" s="8" t="inlineStr">
        <is>
          <t>Ambient_Drought</t>
        </is>
      </c>
      <c r="C3" s="8" t="inlineStr">
        <is>
          <t>Ambient</t>
        </is>
      </c>
      <c r="D3" s="8" t="inlineStr">
        <is>
          <t>Drought</t>
        </is>
      </c>
      <c r="E3" s="11" t="n">
        <v>0.3951374611010898</v>
      </c>
      <c r="F3" s="11" t="n">
        <v>0.016594615191253</v>
      </c>
      <c r="G3" s="11" t="n">
        <v>0.276195857224803</v>
      </c>
      <c r="H3" s="11" t="n">
        <v>0.1093416447455419</v>
      </c>
      <c r="I3" s="11" t="n">
        <v>0.1569884718388196</v>
      </c>
      <c r="J3" s="11" t="n">
        <v>0.0457419498984917</v>
      </c>
      <c r="K3" s="11" t="n">
        <v>0.2077222258263221</v>
      </c>
      <c r="L3" s="11" t="n">
        <v>0.0690518234790003</v>
      </c>
      <c r="M3" s="11" t="n">
        <v>0.1183634117957674</v>
      </c>
      <c r="N3" s="11" t="n">
        <v>0.014928234531291</v>
      </c>
      <c r="O3" s="11" t="n">
        <v>0.001666380659962</v>
      </c>
      <c r="P3" s="11" t="n">
        <v>0.0986954558754783</v>
      </c>
      <c r="Q3" s="11" t="n">
        <v>0.1170043164007139</v>
      </c>
      <c r="R3" s="11" t="n">
        <v>0.0604960849486108</v>
      </c>
      <c r="S3" s="11" t="n">
        <v>0.0120317899174691</v>
      </c>
      <c r="T3" s="11" t="n">
        <v>0.09730985482807281</v>
      </c>
      <c r="U3" s="11" t="n">
        <v>0.0547523933714766</v>
      </c>
      <c r="V3" s="11" t="n">
        <v>0.09023248351759119</v>
      </c>
      <c r="W3" s="11" t="n">
        <v>0.0120035949497518</v>
      </c>
      <c r="X3" s="11" t="n">
        <v>0.0073986298998507</v>
      </c>
      <c r="Y3" s="11" t="n">
        <v>0.0154001522007436</v>
      </c>
      <c r="Z3" s="11" t="n">
        <v>0.0229431677978974</v>
      </c>
      <c r="AA3" s="11">
        <f>SUM(K3:Z3)</f>
        <v/>
      </c>
    </row>
    <row r="4">
      <c r="A4" s="8" t="inlineStr">
        <is>
          <t>OE12-3-19POS.raw Peak area</t>
        </is>
      </c>
      <c r="B4" s="8" t="inlineStr">
        <is>
          <t>Ambient_Control</t>
        </is>
      </c>
      <c r="C4" s="8" t="inlineStr">
        <is>
          <t>Ambient</t>
        </is>
      </c>
      <c r="D4" s="8" t="inlineStr">
        <is>
          <t>No_drought</t>
        </is>
      </c>
      <c r="E4" s="11" t="n">
        <v>0.4024275409897174</v>
      </c>
      <c r="F4" s="11" t="n">
        <v>0.0437599505118912</v>
      </c>
      <c r="G4" s="11" t="n">
        <v>0.2880568778082485</v>
      </c>
      <c r="H4" s="11" t="n">
        <v>0.0900412857644068</v>
      </c>
      <c r="I4" s="11" t="n">
        <v>0.1364463380318455</v>
      </c>
      <c r="J4" s="11" t="n">
        <v>0.03926800689389</v>
      </c>
      <c r="K4" s="11" t="n">
        <v>0.1930281116779493</v>
      </c>
      <c r="L4" s="11" t="n">
        <v>0.0510267504032351</v>
      </c>
      <c r="M4" s="11" t="n">
        <v>0.158372678908533</v>
      </c>
      <c r="N4" s="11" t="n">
        <v>0.0354372177635515</v>
      </c>
      <c r="O4" s="11" t="n">
        <v>0.0083227327483397</v>
      </c>
      <c r="P4" s="11" t="n">
        <v>0.0603391251029188</v>
      </c>
      <c r="Q4" s="11" t="n">
        <v>0.1323879664971453</v>
      </c>
      <c r="R4" s="11" t="n">
        <v>0.0953297862081844</v>
      </c>
      <c r="S4" s="11" t="n">
        <v>0.0107338551424071</v>
      </c>
      <c r="T4" s="11" t="n">
        <v>0.0793074306219997</v>
      </c>
      <c r="U4" s="11" t="n">
        <v>0.0421231069160637</v>
      </c>
      <c r="V4" s="11" t="n">
        <v>0.08958270960044309</v>
      </c>
      <c r="W4" s="11" t="n">
        <v>0.0047405215153387</v>
      </c>
      <c r="X4" s="11" t="n">
        <v>0.0107856701699727</v>
      </c>
      <c r="Y4" s="11" t="n">
        <v>0.0123818991799646</v>
      </c>
      <c r="Z4" s="11" t="n">
        <v>0.0161004375439527</v>
      </c>
      <c r="AA4" s="11">
        <f>SUM(K4:Z4)</f>
        <v/>
      </c>
    </row>
    <row r="5">
      <c r="A5" s="8" t="inlineStr">
        <is>
          <t>OE12-3-22POS.raw Peak area</t>
        </is>
      </c>
      <c r="B5" s="8" t="inlineStr">
        <is>
          <t>Ambient_Control</t>
        </is>
      </c>
      <c r="C5" s="8" t="inlineStr">
        <is>
          <t>Ambient</t>
        </is>
      </c>
      <c r="D5" s="8" t="inlineStr">
        <is>
          <t>No_drought</t>
        </is>
      </c>
      <c r="E5" s="11" t="n">
        <v>0.3732470273776814</v>
      </c>
      <c r="F5" s="11" t="n">
        <v>0.0769542752315789</v>
      </c>
      <c r="G5" s="11" t="n">
        <v>0.2587695563964519</v>
      </c>
      <c r="H5" s="11" t="n">
        <v>0.1109194818633688</v>
      </c>
      <c r="I5" s="11" t="n">
        <v>0.1414815709498985</v>
      </c>
      <c r="J5" s="11" t="n">
        <v>0.0386280881810196</v>
      </c>
      <c r="K5" s="11" t="n">
        <v>0.1881280378308004</v>
      </c>
      <c r="L5" s="11" t="n">
        <v>0.0510712889319779</v>
      </c>
      <c r="M5" s="11" t="n">
        <v>0.1340477006149031</v>
      </c>
      <c r="N5" s="11" t="n">
        <v>0.0677721933369435</v>
      </c>
      <c r="O5" s="11" t="n">
        <v>0.0091820818946354</v>
      </c>
      <c r="P5" s="11" t="n">
        <v>0.059651656956401</v>
      </c>
      <c r="Q5" s="11" t="n">
        <v>0.1223756927532358</v>
      </c>
      <c r="R5" s="11" t="n">
        <v>0.0767422066868151</v>
      </c>
      <c r="S5" s="11" t="n">
        <v>0.009259158805381799</v>
      </c>
      <c r="T5" s="11" t="n">
        <v>0.101660323057987</v>
      </c>
      <c r="U5" s="11" t="n">
        <v>0.0425601266331586</v>
      </c>
      <c r="V5" s="11" t="n">
        <v>0.0955002173589965</v>
      </c>
      <c r="W5" s="11" t="n">
        <v>0.0034212269577434</v>
      </c>
      <c r="X5" s="11" t="n">
        <v>0.009134887159758499</v>
      </c>
      <c r="Y5" s="11" t="n">
        <v>0.0128411116125913</v>
      </c>
      <c r="Z5" s="11" t="n">
        <v>0.0166520894086698</v>
      </c>
      <c r="AA5" s="11">
        <f>SUM(K5:Z5)</f>
        <v/>
      </c>
    </row>
    <row r="6">
      <c r="A6" s="8" t="inlineStr">
        <is>
          <t>OE12-3-43POS.raw Peak area</t>
        </is>
      </c>
      <c r="B6" s="8" t="inlineStr">
        <is>
          <t>Future_Drought</t>
        </is>
      </c>
      <c r="C6" s="8" t="inlineStr">
        <is>
          <t>Future</t>
        </is>
      </c>
      <c r="D6" s="8" t="inlineStr">
        <is>
          <t>Drought</t>
        </is>
      </c>
      <c r="E6" s="11" t="n">
        <v>0.3790733758978768</v>
      </c>
      <c r="F6" s="11" t="n">
        <v>0.0731677398520057</v>
      </c>
      <c r="G6" s="11" t="n">
        <v>0.2702013419617076</v>
      </c>
      <c r="H6" s="11" t="n">
        <v>0.1133760837235076</v>
      </c>
      <c r="I6" s="11" t="n">
        <v>0.1259111038380092</v>
      </c>
      <c r="J6" s="11" t="n">
        <v>0.0382703547268923</v>
      </c>
      <c r="K6" s="11" t="n">
        <v>0.2029772781134782</v>
      </c>
      <c r="L6" s="11" t="n">
        <v>0.052429684253546</v>
      </c>
      <c r="M6" s="11" t="n">
        <v>0.1236664135308526</v>
      </c>
      <c r="N6" s="11" t="n">
        <v>0.0477635556528519</v>
      </c>
      <c r="O6" s="11" t="n">
        <v>0.0254041841991538</v>
      </c>
      <c r="P6" s="11" t="n">
        <v>0.0743203697224126</v>
      </c>
      <c r="Q6" s="11" t="n">
        <v>0.1286305585598688</v>
      </c>
      <c r="R6" s="11" t="n">
        <v>0.0672504136794262</v>
      </c>
      <c r="S6" s="11" t="n">
        <v>0.009893328828958299</v>
      </c>
      <c r="T6" s="11" t="n">
        <v>0.1034827548945493</v>
      </c>
      <c r="U6" s="11" t="n">
        <v>0.0443575513917507</v>
      </c>
      <c r="V6" s="11" t="n">
        <v>0.07487891985491869</v>
      </c>
      <c r="W6" s="11" t="n">
        <v>0.0066746325913398</v>
      </c>
      <c r="X6" s="11" t="n">
        <v>0.0086904728114017</v>
      </c>
      <c r="Y6" s="11" t="n">
        <v>0.011495999011634</v>
      </c>
      <c r="Z6" s="11" t="n">
        <v>0.0180838829038566</v>
      </c>
      <c r="AA6" s="11">
        <f>SUM(K6:Z6)</f>
        <v/>
      </c>
    </row>
    <row r="7">
      <c r="A7" s="8" t="inlineStr">
        <is>
          <t>OE12-3-48POS.raw Peak area</t>
        </is>
      </c>
      <c r="B7" s="8" t="inlineStr">
        <is>
          <t>Future_Drought</t>
        </is>
      </c>
      <c r="C7" s="8" t="inlineStr">
        <is>
          <t>Future</t>
        </is>
      </c>
      <c r="D7" s="8" t="inlineStr">
        <is>
          <t>Drought</t>
        </is>
      </c>
      <c r="E7" s="11" t="n">
        <v>0.3569487751777516</v>
      </c>
      <c r="F7" s="11" t="n">
        <v>0.0755524415982264</v>
      </c>
      <c r="G7" s="11" t="n">
        <v>0.3029453914192769</v>
      </c>
      <c r="H7" s="11" t="n">
        <v>0.0849311917127803</v>
      </c>
      <c r="I7" s="11" t="n">
        <v>0.1406899181670321</v>
      </c>
      <c r="J7" s="11" t="n">
        <v>0.0389322819249319</v>
      </c>
      <c r="K7" s="11" t="n">
        <v>0.2011068959125981</v>
      </c>
      <c r="L7" s="11" t="n">
        <v>0.0623983984914647</v>
      </c>
      <c r="M7" s="11" t="n">
        <v>0.0934434807736888</v>
      </c>
      <c r="N7" s="11" t="n">
        <v>0.0651361395522555</v>
      </c>
      <c r="O7" s="11" t="n">
        <v>0.0104163020459709</v>
      </c>
      <c r="P7" s="11" t="n">
        <v>0.08621824161497089</v>
      </c>
      <c r="Q7" s="11" t="n">
        <v>0.1441509507287219</v>
      </c>
      <c r="R7" s="11" t="n">
        <v>0.0725761990755841</v>
      </c>
      <c r="S7" s="11" t="n">
        <v>0.0085459677918787</v>
      </c>
      <c r="T7" s="11" t="n">
        <v>0.07638522392090159</v>
      </c>
      <c r="U7" s="11" t="n">
        <v>0.06387112021957821</v>
      </c>
      <c r="V7" s="11" t="n">
        <v>0.0712309382383855</v>
      </c>
      <c r="W7" s="11" t="n">
        <v>0.0055878597090684</v>
      </c>
      <c r="X7" s="11" t="n">
        <v>0.0114037050827857</v>
      </c>
      <c r="Y7" s="11" t="n">
        <v>0.009872232853525899</v>
      </c>
      <c r="Z7" s="11" t="n">
        <v>0.0176563439886203</v>
      </c>
      <c r="AA7" s="11">
        <f>SUM(K7:Z7)</f>
        <v/>
      </c>
    </row>
    <row r="8">
      <c r="A8" s="8" t="inlineStr">
        <is>
          <t>OE12-3-44POS.raw Peak area</t>
        </is>
      </c>
      <c r="B8" s="8" t="inlineStr">
        <is>
          <t>Ambient_Drought</t>
        </is>
      </c>
      <c r="C8" s="8" t="inlineStr">
        <is>
          <t>Ambient</t>
        </is>
      </c>
      <c r="D8" s="8" t="inlineStr">
        <is>
          <t>Drought</t>
        </is>
      </c>
      <c r="E8" s="11" t="n">
        <v>0.3904109331151005</v>
      </c>
      <c r="F8" s="11" t="n">
        <v>0.09770404184116641</v>
      </c>
      <c r="G8" s="11" t="n">
        <v>0.2424931765779092</v>
      </c>
      <c r="H8" s="11" t="n">
        <v>0.08669196194189829</v>
      </c>
      <c r="I8" s="11" t="n">
        <v>0.1464602360733306</v>
      </c>
      <c r="J8" s="11" t="n">
        <v>0.0362396504505942</v>
      </c>
      <c r="K8" s="11" t="n">
        <v>0.2264215754392542</v>
      </c>
      <c r="L8" s="11" t="n">
        <v>0.0640366855638472</v>
      </c>
      <c r="M8" s="11" t="n">
        <v>0.0999526721119991</v>
      </c>
      <c r="N8" s="11" t="n">
        <v>0.0826905150529182</v>
      </c>
      <c r="O8" s="11" t="n">
        <v>0.0150135267882482</v>
      </c>
      <c r="P8" s="11" t="n">
        <v>0.0552448648569016</v>
      </c>
      <c r="Q8" s="11" t="n">
        <v>0.1218555457190315</v>
      </c>
      <c r="R8" s="11" t="n">
        <v>0.0653927660019761</v>
      </c>
      <c r="S8" s="11" t="n">
        <v>0.009358689648987799</v>
      </c>
      <c r="T8" s="11" t="n">
        <v>0.0773332722929105</v>
      </c>
      <c r="U8" s="11" t="n">
        <v>0.042039376964688</v>
      </c>
      <c r="V8" s="11" t="n">
        <v>0.1000307320804637</v>
      </c>
      <c r="W8" s="11" t="n">
        <v>0.0043901270281789</v>
      </c>
      <c r="X8" s="11" t="n">
        <v>0.0090047264326568</v>
      </c>
      <c r="Y8" s="11" t="n">
        <v>0.009122369369633201</v>
      </c>
      <c r="Z8" s="11" t="n">
        <v>0.0181125546483042</v>
      </c>
      <c r="AA8" s="11">
        <f>SUM(K8:Z8)</f>
        <v/>
      </c>
    </row>
    <row r="9">
      <c r="A9" s="8" t="inlineStr">
        <is>
          <t>OE12-3-40POS.raw Peak area</t>
        </is>
      </c>
      <c r="B9" s="8" t="inlineStr">
        <is>
          <t>Future_Control</t>
        </is>
      </c>
      <c r="C9" s="8" t="inlineStr">
        <is>
          <t>Future</t>
        </is>
      </c>
      <c r="D9" s="8" t="inlineStr">
        <is>
          <t>No_drought</t>
        </is>
      </c>
      <c r="E9" s="11" t="n">
        <v>0.3849771313077875</v>
      </c>
      <c r="F9" s="11" t="n">
        <v>0.0781687811433899</v>
      </c>
      <c r="G9" s="11" t="n">
        <v>0.2697399138628461</v>
      </c>
      <c r="H9" s="11" t="n">
        <v>0.0719921631607999</v>
      </c>
      <c r="I9" s="11" t="n">
        <v>0.1537063301232992</v>
      </c>
      <c r="J9" s="11" t="n">
        <v>0.0414156804018764</v>
      </c>
      <c r="K9" s="11" t="n">
        <v>0.1772029646059855</v>
      </c>
      <c r="L9" s="11" t="n">
        <v>0.058681725946765</v>
      </c>
      <c r="M9" s="11" t="n">
        <v>0.149092440755037</v>
      </c>
      <c r="N9" s="11" t="n">
        <v>0.066987202364349</v>
      </c>
      <c r="O9" s="11" t="n">
        <v>0.0111815787790409</v>
      </c>
      <c r="P9" s="11" t="n">
        <v>0.0525488763759845</v>
      </c>
      <c r="Q9" s="11" t="n">
        <v>0.1498307412047478</v>
      </c>
      <c r="R9" s="11" t="n">
        <v>0.0673602962821138</v>
      </c>
      <c r="S9" s="11" t="n">
        <v>0.0097605948567981</v>
      </c>
      <c r="T9" s="11" t="n">
        <v>0.0622315683040018</v>
      </c>
      <c r="U9" s="11" t="n">
        <v>0.0496470002190912</v>
      </c>
      <c r="V9" s="11" t="n">
        <v>0.0996653259068935</v>
      </c>
      <c r="W9" s="11" t="n">
        <v>0.0043940039973145</v>
      </c>
      <c r="X9" s="11" t="n">
        <v>0.0113631219659334</v>
      </c>
      <c r="Y9" s="11" t="n">
        <v>0.0145336604428265</v>
      </c>
      <c r="Z9" s="11" t="n">
        <v>0.0155188979931165</v>
      </c>
      <c r="AA9" s="11">
        <f>SUM(K9:Z9)</f>
        <v/>
      </c>
    </row>
    <row r="10">
      <c r="A10" s="8" t="inlineStr">
        <is>
          <t>OE12-3-27POS.raw Peak area</t>
        </is>
      </c>
      <c r="B10" s="8" t="inlineStr">
        <is>
          <t>Future_Drought</t>
        </is>
      </c>
      <c r="C10" s="8" t="inlineStr">
        <is>
          <t>Future</t>
        </is>
      </c>
      <c r="D10" s="8" t="inlineStr">
        <is>
          <t>Drought</t>
        </is>
      </c>
      <c r="E10" s="11" t="n">
        <v>0.4125865772259487</v>
      </c>
      <c r="F10" s="11" t="n">
        <v>0.0378565742809111</v>
      </c>
      <c r="G10" s="11" t="n">
        <v>0.2875359388666428</v>
      </c>
      <c r="H10" s="11" t="n">
        <v>0.09049189843446991</v>
      </c>
      <c r="I10" s="11" t="n">
        <v>0.135359068315621</v>
      </c>
      <c r="J10" s="11" t="n">
        <v>0.0361699428764059</v>
      </c>
      <c r="K10" s="11" t="n">
        <v>0.2828520667223695</v>
      </c>
      <c r="L10" s="11" t="n">
        <v>0.0487715290621975</v>
      </c>
      <c r="M10" s="11" t="n">
        <v>0.0809629814413817</v>
      </c>
      <c r="N10" s="11" t="n">
        <v>0.0284882507538123</v>
      </c>
      <c r="O10" s="11" t="n">
        <v>0.0093683235270988</v>
      </c>
      <c r="P10" s="11" t="n">
        <v>0.06918160862591741</v>
      </c>
      <c r="Q10" s="11" t="n">
        <v>0.1419857965447073</v>
      </c>
      <c r="R10" s="11" t="n">
        <v>0.07636853369601811</v>
      </c>
      <c r="S10" s="11" t="n">
        <v>0.009921670007042501</v>
      </c>
      <c r="T10" s="11" t="n">
        <v>0.08057022842742741</v>
      </c>
      <c r="U10" s="11" t="n">
        <v>0.0595925835983722</v>
      </c>
      <c r="V10" s="11" t="n">
        <v>0.069767410715652</v>
      </c>
      <c r="W10" s="11" t="n">
        <v>0.0059990740015968</v>
      </c>
      <c r="X10" s="11" t="n">
        <v>0.0086144375008281</v>
      </c>
      <c r="Y10" s="11" t="n">
        <v>0.0107617542650076</v>
      </c>
      <c r="Z10" s="11" t="n">
        <v>0.0167937511105702</v>
      </c>
      <c r="AA10" s="11">
        <f>SUM(K10:Z10)</f>
        <v/>
      </c>
    </row>
    <row r="11">
      <c r="A11" s="8" t="inlineStr">
        <is>
          <t>OE12-3-28POS.raw Peak area</t>
        </is>
      </c>
      <c r="B11" s="8" t="inlineStr">
        <is>
          <t>Ambient_Drought</t>
        </is>
      </c>
      <c r="C11" s="8" t="inlineStr">
        <is>
          <t>Ambient</t>
        </is>
      </c>
      <c r="D11" s="8" t="inlineStr">
        <is>
          <t>Drought</t>
        </is>
      </c>
      <c r="E11" s="11" t="n">
        <v>0.3737529272055504</v>
      </c>
      <c r="F11" s="11" t="n">
        <v>0.0181880388167929</v>
      </c>
      <c r="G11" s="11" t="n">
        <v>0.2487435714548648</v>
      </c>
      <c r="H11" s="11" t="n">
        <v>0.1098255824564671</v>
      </c>
      <c r="I11" s="11" t="n">
        <v>0.1953928824169811</v>
      </c>
      <c r="J11" s="11" t="n">
        <v>0.0540969976493428</v>
      </c>
      <c r="K11" s="11" t="n">
        <v>0.1627301177656457</v>
      </c>
      <c r="L11" s="11" t="n">
        <v>0.0878610745738914</v>
      </c>
      <c r="M11" s="11" t="n">
        <v>0.1231617348660133</v>
      </c>
      <c r="N11" s="11" t="n">
        <v>0.0169252038129841</v>
      </c>
      <c r="O11" s="11" t="n">
        <v>0.0012628350038088</v>
      </c>
      <c r="P11" s="11" t="n">
        <v>0.1035709901373484</v>
      </c>
      <c r="Q11" s="11" t="n">
        <v>0.0844256971557731</v>
      </c>
      <c r="R11" s="11" t="n">
        <v>0.0607468841617433</v>
      </c>
      <c r="S11" s="11" t="n">
        <v>0.0132321648451792</v>
      </c>
      <c r="T11" s="11" t="n">
        <v>0.0965934176112879</v>
      </c>
      <c r="U11" s="11" t="n">
        <v>0.06559747064686509</v>
      </c>
      <c r="V11" s="11" t="n">
        <v>0.121507711659433</v>
      </c>
      <c r="W11" s="11" t="n">
        <v>0.008287700110682999</v>
      </c>
      <c r="X11" s="11" t="n">
        <v>0.0126229909473696</v>
      </c>
      <c r="Y11" s="11" t="n">
        <v>0.0174976885354983</v>
      </c>
      <c r="Z11" s="11" t="n">
        <v>0.0239763181664749</v>
      </c>
      <c r="AA11" s="11">
        <f>SUM(K11:Z11)</f>
        <v/>
      </c>
    </row>
    <row r="12">
      <c r="A12" s="8" t="inlineStr">
        <is>
          <t>OE12-3-35POS.raw Peak area</t>
        </is>
      </c>
      <c r="B12" s="8" t="inlineStr">
        <is>
          <t>Future_Control</t>
        </is>
      </c>
      <c r="C12" s="8" t="inlineStr">
        <is>
          <t>Future</t>
        </is>
      </c>
      <c r="D12" s="8" t="inlineStr">
        <is>
          <t>No_drought</t>
        </is>
      </c>
      <c r="E12" s="11" t="n">
        <v>0.4012532956285914</v>
      </c>
      <c r="F12" s="11" t="n">
        <v>0.0499515529182323</v>
      </c>
      <c r="G12" s="11" t="n">
        <v>0.2523358448069156</v>
      </c>
      <c r="H12" s="11" t="n">
        <v>0.09127861865298649</v>
      </c>
      <c r="I12" s="11" t="n">
        <v>0.1604258549383257</v>
      </c>
      <c r="J12" s="11" t="n">
        <v>0.0447548330549479</v>
      </c>
      <c r="K12" s="11" t="n">
        <v>0.2015289573062932</v>
      </c>
      <c r="L12" s="11" t="n">
        <v>0.06651761131003441</v>
      </c>
      <c r="M12" s="11" t="n">
        <v>0.1332067270122638</v>
      </c>
      <c r="N12" s="11" t="n">
        <v>0.0449605948624744</v>
      </c>
      <c r="O12" s="11" t="n">
        <v>0.0049909580557579</v>
      </c>
      <c r="P12" s="11" t="n">
        <v>0.07798150515083301</v>
      </c>
      <c r="Q12" s="11" t="n">
        <v>0.1152060400719753</v>
      </c>
      <c r="R12" s="11" t="n">
        <v>0.0591482995841073</v>
      </c>
      <c r="S12" s="11" t="n">
        <v>0.0112259985157788</v>
      </c>
      <c r="T12" s="11" t="n">
        <v>0.08005262013720769</v>
      </c>
      <c r="U12" s="11" t="n">
        <v>0.0493296714276489</v>
      </c>
      <c r="V12" s="11" t="n">
        <v>0.1072400447569517</v>
      </c>
      <c r="W12" s="11" t="n">
        <v>0.0038561387537251</v>
      </c>
      <c r="X12" s="11" t="n">
        <v>0.0135823415026329</v>
      </c>
      <c r="Y12" s="11" t="n">
        <v>0.0144809483011547</v>
      </c>
      <c r="Z12" s="11" t="n">
        <v>0.0166915432511603</v>
      </c>
      <c r="AA12" s="11">
        <f>SUM(K12:Z12)</f>
        <v/>
      </c>
    </row>
    <row r="13">
      <c r="A13" s="8" t="inlineStr">
        <is>
          <t>OE12-3-36POS.raw Peak area</t>
        </is>
      </c>
      <c r="B13" s="8" t="inlineStr">
        <is>
          <t>Ambient_Control</t>
        </is>
      </c>
      <c r="C13" s="8" t="inlineStr">
        <is>
          <t>Ambient</t>
        </is>
      </c>
      <c r="D13" s="8" t="inlineStr">
        <is>
          <t>No_drought</t>
        </is>
      </c>
      <c r="E13" s="11" t="n">
        <v>0.3564525088897478</v>
      </c>
      <c r="F13" s="11" t="n">
        <v>0.0659104536775456</v>
      </c>
      <c r="G13" s="11" t="n">
        <v>0.3215468917436656</v>
      </c>
      <c r="H13" s="11" t="n">
        <v>0.07671689140608319</v>
      </c>
      <c r="I13" s="11" t="n">
        <v>0.1389507041299014</v>
      </c>
      <c r="J13" s="11" t="n">
        <v>0.0404225501530555</v>
      </c>
      <c r="K13" s="11" t="n">
        <v>0.1833664480360373</v>
      </c>
      <c r="L13" s="11" t="n">
        <v>0.0530057314644346</v>
      </c>
      <c r="M13" s="11" t="n">
        <v>0.1200803293892759</v>
      </c>
      <c r="N13" s="11" t="n">
        <v>0.0536188766227972</v>
      </c>
      <c r="O13" s="11" t="n">
        <v>0.0122915770547484</v>
      </c>
      <c r="P13" s="11" t="n">
        <v>0.07348449622540081</v>
      </c>
      <c r="Q13" s="11" t="n">
        <v>0.1848315428568358</v>
      </c>
      <c r="R13" s="11" t="n">
        <v>0.063230852661429</v>
      </c>
      <c r="S13" s="11" t="n">
        <v>0.009675959319888201</v>
      </c>
      <c r="T13" s="11" t="n">
        <v>0.06704093208619499</v>
      </c>
      <c r="U13" s="11" t="n">
        <v>0.0392962188953616</v>
      </c>
      <c r="V13" s="11" t="n">
        <v>0.0953700806948284</v>
      </c>
      <c r="W13" s="11" t="n">
        <v>0.0042844045397114</v>
      </c>
      <c r="X13" s="11" t="n">
        <v>0.0123167549158087</v>
      </c>
      <c r="Y13" s="11" t="n">
        <v>0.0131109440890337</v>
      </c>
      <c r="Z13" s="11" t="n">
        <v>0.0149948511482131</v>
      </c>
      <c r="AA13" s="11">
        <f>SUM(K13:Z13)</f>
        <v/>
      </c>
    </row>
    <row r="14">
      <c r="A14" s="8" t="inlineStr">
        <is>
          <t>OE12-3-52POS.raw Peak area</t>
        </is>
      </c>
      <c r="B14" s="8" t="inlineStr">
        <is>
          <t>Future_Control</t>
        </is>
      </c>
      <c r="C14" s="8" t="inlineStr">
        <is>
          <t>Future</t>
        </is>
      </c>
      <c r="D14" s="8" t="inlineStr">
        <is>
          <t>No_drought</t>
        </is>
      </c>
      <c r="E14" s="11" t="n">
        <v>0.360320665119736</v>
      </c>
      <c r="F14" s="11" t="n">
        <v>0.0305426633821173</v>
      </c>
      <c r="G14" s="11" t="n">
        <v>0.3205489789939302</v>
      </c>
      <c r="H14" s="11" t="n">
        <v>0.1158934378989357</v>
      </c>
      <c r="I14" s="11" t="n">
        <v>0.1339281743553096</v>
      </c>
      <c r="J14" s="11" t="n">
        <v>0.0387660802499705</v>
      </c>
      <c r="K14" s="11" t="n">
        <v>0.1942228142929802</v>
      </c>
      <c r="L14" s="11" t="n">
        <v>0.0588581751811998</v>
      </c>
      <c r="M14" s="11" t="n">
        <v>0.107239675645556</v>
      </c>
      <c r="N14" s="11" t="n">
        <v>0.0261807303150101</v>
      </c>
      <c r="O14" s="11" t="n">
        <v>0.0043619330671072</v>
      </c>
      <c r="P14" s="11" t="n">
        <v>0.1123432650860588</v>
      </c>
      <c r="Q14" s="11" t="n">
        <v>0.1356907826470578</v>
      </c>
      <c r="R14" s="11" t="n">
        <v>0.0725149312608136</v>
      </c>
      <c r="S14" s="11" t="n">
        <v>0.0119174364134216</v>
      </c>
      <c r="T14" s="11" t="n">
        <v>0.1039760014855141</v>
      </c>
      <c r="U14" s="11" t="n">
        <v>0.0477340344333721</v>
      </c>
      <c r="V14" s="11" t="n">
        <v>0.0800654905030198</v>
      </c>
      <c r="W14" s="11" t="n">
        <v>0.0061286494189177</v>
      </c>
      <c r="X14" s="11" t="n">
        <v>0.0124615006981531</v>
      </c>
      <c r="Y14" s="11" t="n">
        <v>0.0110999138740895</v>
      </c>
      <c r="Z14" s="11" t="n">
        <v>0.0152046656777279</v>
      </c>
      <c r="AA14" s="11">
        <f>SUM(K14:Z14)</f>
        <v/>
      </c>
    </row>
  </sheetData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9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1" customWidth="1" min="27" max="27"/>
  </cols>
  <sheetData>
    <row r="1">
      <c r="A1" s="4" t="inlineStr">
        <is>
          <t>Supplementary Table S8e. Per-sample composition - marker-panel (provenance overlay), fractions 0-1</t>
        </is>
      </c>
    </row>
    <row r="2">
      <c r="A2" s="5" t="inlineStr">
        <is>
          <t>column_name</t>
        </is>
      </c>
      <c r="B2" s="5" t="inlineStr">
        <is>
          <t>treatment</t>
        </is>
      </c>
      <c r="C2" s="5" t="inlineStr">
        <is>
          <t>climate</t>
        </is>
      </c>
      <c r="D2" s="5" t="inlineStr">
        <is>
          <t>drought</t>
        </is>
      </c>
      <c r="E2" s="5" t="inlineStr">
        <is>
          <t>Bacteria</t>
        </is>
      </c>
      <c r="F2" s="5" t="inlineStr">
        <is>
          <t>Archaea</t>
        </is>
      </c>
      <c r="G2" s="5" t="inlineStr">
        <is>
          <t>Fungi</t>
        </is>
      </c>
      <c r="H2" s="5" t="inlineStr">
        <is>
          <t>Viridiplantae</t>
        </is>
      </c>
      <c r="I2" s="5" t="inlineStr">
        <is>
          <t>Animalia</t>
        </is>
      </c>
      <c r="J2" s="5" t="inlineStr">
        <is>
          <t>Protists</t>
        </is>
      </c>
      <c r="K2" s="5" t="inlineStr">
        <is>
          <t>Actinomycetota</t>
        </is>
      </c>
      <c r="L2" s="5" t="inlineStr">
        <is>
          <t>Bacillota</t>
        </is>
      </c>
      <c r="M2" s="5" t="inlineStr">
        <is>
          <t>Pseudomonadota</t>
        </is>
      </c>
      <c r="N2" s="5" t="inlineStr">
        <is>
          <t>Methanobacteriota</t>
        </is>
      </c>
      <c r="O2" s="5" t="inlineStr">
        <is>
          <t>Thermoproteota</t>
        </is>
      </c>
      <c r="P2" s="5" t="inlineStr">
        <is>
          <t>Ascomycota</t>
        </is>
      </c>
      <c r="Q2" s="5" t="inlineStr">
        <is>
          <t>Basidiomycota</t>
        </is>
      </c>
      <c r="R2" s="5" t="inlineStr">
        <is>
          <t>Mucoromycota</t>
        </is>
      </c>
      <c r="S2" s="5" t="inlineStr">
        <is>
          <t>Chlorophyta</t>
        </is>
      </c>
      <c r="T2" s="5" t="inlineStr">
        <is>
          <t>Streptophyta</t>
        </is>
      </c>
      <c r="U2" s="5" t="inlineStr">
        <is>
          <t>Arthropoda</t>
        </is>
      </c>
      <c r="V2" s="5" t="inlineStr">
        <is>
          <t>Mollusca</t>
        </is>
      </c>
      <c r="W2" s="5" t="inlineStr">
        <is>
          <t>Nematoda</t>
        </is>
      </c>
      <c r="X2" s="5" t="inlineStr">
        <is>
          <t>Discosea</t>
        </is>
      </c>
      <c r="Y2" s="5" t="inlineStr">
        <is>
          <t>Evosea</t>
        </is>
      </c>
      <c r="Z2" s="5" t="inlineStr">
        <is>
          <t>Heterolobosea</t>
        </is>
      </c>
      <c r="AA2" s="5" t="inlineStr">
        <is>
          <t>Sum check</t>
        </is>
      </c>
    </row>
    <row r="3">
      <c r="A3" s="8" t="inlineStr">
        <is>
          <t>OE12-3-49POS.raw Peak area</t>
        </is>
      </c>
      <c r="B3" s="8" t="inlineStr">
        <is>
          <t>Ambient_Drought</t>
        </is>
      </c>
      <c r="C3" s="8" t="inlineStr">
        <is>
          <t>Ambient</t>
        </is>
      </c>
      <c r="D3" s="8" t="inlineStr">
        <is>
          <t>Drought</t>
        </is>
      </c>
      <c r="E3" s="11" t="n">
        <v>0.1802142994629972</v>
      </c>
      <c r="F3" s="11" t="n">
        <v>0.0027085865912653</v>
      </c>
      <c r="G3" s="11" t="n">
        <v>0.2735218159962252</v>
      </c>
      <c r="H3" s="11" t="n">
        <v>0.2789991892575414</v>
      </c>
      <c r="I3" s="11" t="n">
        <v>0.1488123045371183</v>
      </c>
      <c r="J3" s="11" t="n">
        <v>0.1157438041548519</v>
      </c>
      <c r="K3" s="11" t="n">
        <v>0.1131999415224588</v>
      </c>
      <c r="L3" s="11" t="n">
        <v>0.041020441597367</v>
      </c>
      <c r="M3" s="11" t="n">
        <v>0.0259939163431714</v>
      </c>
      <c r="N3" s="11" t="n">
        <v>0.0025540788184271</v>
      </c>
      <c r="O3" s="11" t="n">
        <v>0.0001545077728382</v>
      </c>
      <c r="P3" s="11" t="n">
        <v>0.0361576464862492</v>
      </c>
      <c r="Q3" s="11" t="n">
        <v>0.190648520893568</v>
      </c>
      <c r="R3" s="11" t="n">
        <v>0.046715648616408</v>
      </c>
      <c r="S3" s="11" t="n">
        <v>0.0564909270509481</v>
      </c>
      <c r="T3" s="11" t="n">
        <v>0.2225082622065933</v>
      </c>
      <c r="U3" s="11" t="n">
        <v>0.0419438910353798</v>
      </c>
      <c r="V3" s="11" t="n">
        <v>0.0582442735165568</v>
      </c>
      <c r="W3" s="11" t="n">
        <v>0.0486241399851817</v>
      </c>
      <c r="X3" s="11" t="n">
        <v>0.0145724274552152</v>
      </c>
      <c r="Y3" s="11" t="n">
        <v>0.0362674175988922</v>
      </c>
      <c r="Z3" s="11" t="n">
        <v>0.06490395910074449</v>
      </c>
      <c r="AA3" s="11">
        <f>SUM(K3:Z3)</f>
        <v/>
      </c>
    </row>
    <row r="4">
      <c r="A4" s="8" t="inlineStr">
        <is>
          <t>OE12-3-19POS.raw Peak area</t>
        </is>
      </c>
      <c r="B4" s="8" t="inlineStr">
        <is>
          <t>Ambient_Control</t>
        </is>
      </c>
      <c r="C4" s="8" t="inlineStr">
        <is>
          <t>Ambient</t>
        </is>
      </c>
      <c r="D4" s="8" t="inlineStr">
        <is>
          <t>No_drought</t>
        </is>
      </c>
      <c r="E4" s="11" t="n">
        <v>0.1871315871984043</v>
      </c>
      <c r="F4" s="11" t="n">
        <v>0.0017519696103488</v>
      </c>
      <c r="G4" s="11" t="n">
        <v>0.2729389813724872</v>
      </c>
      <c r="H4" s="11" t="n">
        <v>0.2783545367599073</v>
      </c>
      <c r="I4" s="11" t="n">
        <v>0.1433940288626096</v>
      </c>
      <c r="J4" s="11" t="n">
        <v>0.1164288961962419</v>
      </c>
      <c r="K4" s="11" t="n">
        <v>0.1122807246236216</v>
      </c>
      <c r="L4" s="11" t="n">
        <v>0.0314128186938781</v>
      </c>
      <c r="M4" s="11" t="n">
        <v>0.0434380438809046</v>
      </c>
      <c r="N4" s="11" t="n">
        <v>0.0015147036609955</v>
      </c>
      <c r="O4" s="11" t="n">
        <v>0.0002372659493533</v>
      </c>
      <c r="P4" s="11" t="n">
        <v>0.0288873326563429</v>
      </c>
      <c r="Q4" s="11" t="n">
        <v>0.1756531387254434</v>
      </c>
      <c r="R4" s="11" t="n">
        <v>0.06839850999070091</v>
      </c>
      <c r="S4" s="11" t="n">
        <v>0.054443175794941</v>
      </c>
      <c r="T4" s="11" t="n">
        <v>0.2239113609649663</v>
      </c>
      <c r="U4" s="11" t="n">
        <v>0.0356980791691545</v>
      </c>
      <c r="V4" s="11" t="n">
        <v>0.07909161996399069</v>
      </c>
      <c r="W4" s="11" t="n">
        <v>0.0286043297294644</v>
      </c>
      <c r="X4" s="11" t="n">
        <v>0.0287098073351131</v>
      </c>
      <c r="Y4" s="11" t="n">
        <v>0.0362565696318481</v>
      </c>
      <c r="Z4" s="11" t="n">
        <v>0.0514625192292807</v>
      </c>
      <c r="AA4" s="11">
        <f>SUM(K4:Z4)</f>
        <v/>
      </c>
    </row>
    <row r="5">
      <c r="A5" s="8" t="inlineStr">
        <is>
          <t>OE12-3-22POS.raw Peak area</t>
        </is>
      </c>
      <c r="B5" s="8" t="inlineStr">
        <is>
          <t>Ambient_Control</t>
        </is>
      </c>
      <c r="C5" s="8" t="inlineStr">
        <is>
          <t>Ambient</t>
        </is>
      </c>
      <c r="D5" s="8" t="inlineStr">
        <is>
          <t>No_drought</t>
        </is>
      </c>
      <c r="E5" s="11" t="n">
        <v>0.178680453929056</v>
      </c>
      <c r="F5" s="11" t="n">
        <v>0.002932245270679</v>
      </c>
      <c r="G5" s="11" t="n">
        <v>0.2422252668147004</v>
      </c>
      <c r="H5" s="11" t="n">
        <v>0.3276751967729372</v>
      </c>
      <c r="I5" s="11" t="n">
        <v>0.128219890475432</v>
      </c>
      <c r="J5" s="11" t="n">
        <v>0.1202669467371945</v>
      </c>
      <c r="K5" s="11" t="n">
        <v>0.1122061679614894</v>
      </c>
      <c r="L5" s="11" t="n">
        <v>0.0292344283717998</v>
      </c>
      <c r="M5" s="11" t="n">
        <v>0.0372398575957668</v>
      </c>
      <c r="N5" s="11" t="n">
        <v>0.0026383471020848</v>
      </c>
      <c r="O5" s="11" t="n">
        <v>0.0002938981685942</v>
      </c>
      <c r="P5" s="11" t="n">
        <v>0.0267109346559254</v>
      </c>
      <c r="Q5" s="11" t="n">
        <v>0.1616289571781872</v>
      </c>
      <c r="R5" s="11" t="n">
        <v>0.0538853749805878</v>
      </c>
      <c r="S5" s="11" t="n">
        <v>0.0558978704889434</v>
      </c>
      <c r="T5" s="11" t="n">
        <v>0.2717773262839938</v>
      </c>
      <c r="U5" s="11" t="n">
        <v>0.0410322673527033</v>
      </c>
      <c r="V5" s="11" t="n">
        <v>0.0696423687701779</v>
      </c>
      <c r="W5" s="11" t="n">
        <v>0.0175452543525508</v>
      </c>
      <c r="X5" s="11" t="n">
        <v>0.0324344684226794</v>
      </c>
      <c r="Y5" s="11" t="n">
        <v>0.0355750027365234</v>
      </c>
      <c r="Z5" s="11" t="n">
        <v>0.0522574755779917</v>
      </c>
      <c r="AA5" s="11">
        <f>SUM(K5:Z5)</f>
        <v/>
      </c>
    </row>
    <row r="6">
      <c r="A6" s="8" t="inlineStr">
        <is>
          <t>OE12-3-43POS.raw Peak area</t>
        </is>
      </c>
      <c r="B6" s="8" t="inlineStr">
        <is>
          <t>Future_Drought</t>
        </is>
      </c>
      <c r="C6" s="8" t="inlineStr">
        <is>
          <t>Future</t>
        </is>
      </c>
      <c r="D6" s="8" t="inlineStr">
        <is>
          <t>Drought</t>
        </is>
      </c>
      <c r="E6" s="11" t="n">
        <v>0.1739024914366862</v>
      </c>
      <c r="F6" s="11" t="n">
        <v>0.003521064212383</v>
      </c>
      <c r="G6" s="11" t="n">
        <v>0.2632129958774525</v>
      </c>
      <c r="H6" s="11" t="n">
        <v>0.3197444751470945</v>
      </c>
      <c r="I6" s="11" t="n">
        <v>0.1349016957760976</v>
      </c>
      <c r="J6" s="11" t="n">
        <v>0.1047172775502854</v>
      </c>
      <c r="K6" s="11" t="n">
        <v>0.1116330051451419</v>
      </c>
      <c r="L6" s="11" t="n">
        <v>0.0287815300244653</v>
      </c>
      <c r="M6" s="11" t="n">
        <v>0.033487956267079</v>
      </c>
      <c r="N6" s="11" t="n">
        <v>0.00218615230605</v>
      </c>
      <c r="O6" s="11" t="n">
        <v>0.001334911906333</v>
      </c>
      <c r="P6" s="11" t="n">
        <v>0.0342389030341111</v>
      </c>
      <c r="Q6" s="11" t="n">
        <v>0.1802184058382797</v>
      </c>
      <c r="R6" s="11" t="n">
        <v>0.0487556870050617</v>
      </c>
      <c r="S6" s="11" t="n">
        <v>0.053427216232628</v>
      </c>
      <c r="T6" s="11" t="n">
        <v>0.2663172589144665</v>
      </c>
      <c r="U6" s="11" t="n">
        <v>0.0455603045937528</v>
      </c>
      <c r="V6" s="11" t="n">
        <v>0.0574809772845805</v>
      </c>
      <c r="W6" s="11" t="n">
        <v>0.0318604138977643</v>
      </c>
      <c r="X6" s="11" t="n">
        <v>0.0139721045019033</v>
      </c>
      <c r="Y6" s="11" t="n">
        <v>0.033210740508529</v>
      </c>
      <c r="Z6" s="11" t="n">
        <v>0.0575344325398531</v>
      </c>
      <c r="AA6" s="11">
        <f>SUM(K6:Z6)</f>
        <v/>
      </c>
    </row>
    <row r="7">
      <c r="A7" s="8" t="inlineStr">
        <is>
          <t>OE12-3-48POS.raw Peak area</t>
        </is>
      </c>
      <c r="B7" s="8" t="inlineStr">
        <is>
          <t>Future_Drought</t>
        </is>
      </c>
      <c r="C7" s="8" t="inlineStr">
        <is>
          <t>Future</t>
        </is>
      </c>
      <c r="D7" s="8" t="inlineStr">
        <is>
          <t>Drought</t>
        </is>
      </c>
      <c r="E7" s="11" t="n">
        <v>0.1857725226316692</v>
      </c>
      <c r="F7" s="11" t="n">
        <v>0.002958104425799</v>
      </c>
      <c r="G7" s="11" t="n">
        <v>0.3026774285693652</v>
      </c>
      <c r="H7" s="11" t="n">
        <v>0.2725921040365809</v>
      </c>
      <c r="I7" s="11" t="n">
        <v>0.1310410221756706</v>
      </c>
      <c r="J7" s="11" t="n">
        <v>0.1049588181609144</v>
      </c>
      <c r="K7" s="11" t="n">
        <v>0.1176555674016478</v>
      </c>
      <c r="L7" s="11" t="n">
        <v>0.0430613347158183</v>
      </c>
      <c r="M7" s="11" t="n">
        <v>0.0250556205142031</v>
      </c>
      <c r="N7" s="11" t="n">
        <v>0.0025547735869704</v>
      </c>
      <c r="O7" s="11" t="n">
        <v>0.0004033308388286</v>
      </c>
      <c r="P7" s="11" t="n">
        <v>0.0399933602912167</v>
      </c>
      <c r="Q7" s="11" t="n">
        <v>0.2039829304950209</v>
      </c>
      <c r="R7" s="11" t="n">
        <v>0.0587011377831276</v>
      </c>
      <c r="S7" s="11" t="n">
        <v>0.0572560739894835</v>
      </c>
      <c r="T7" s="11" t="n">
        <v>0.2153360300470974</v>
      </c>
      <c r="U7" s="11" t="n">
        <v>0.0469185332760235</v>
      </c>
      <c r="V7" s="11" t="n">
        <v>0.0566968873784072</v>
      </c>
      <c r="W7" s="11" t="n">
        <v>0.0274256015212399</v>
      </c>
      <c r="X7" s="11" t="n">
        <v>0.0178667384802994</v>
      </c>
      <c r="Y7" s="11" t="n">
        <v>0.0303183103494548</v>
      </c>
      <c r="Z7" s="11" t="n">
        <v>0.0567737693311602</v>
      </c>
      <c r="AA7" s="11">
        <f>SUM(K7:Z7)</f>
        <v/>
      </c>
    </row>
    <row r="8">
      <c r="A8" s="8" t="inlineStr">
        <is>
          <t>OE12-3-44POS.raw Peak area</t>
        </is>
      </c>
      <c r="B8" s="8" t="inlineStr">
        <is>
          <t>Ambient_Drought</t>
        </is>
      </c>
      <c r="C8" s="8" t="inlineStr">
        <is>
          <t>Ambient</t>
        </is>
      </c>
      <c r="D8" s="8" t="inlineStr">
        <is>
          <t>Drought</t>
        </is>
      </c>
      <c r="E8" s="11" t="n">
        <v>0.2025285489991085</v>
      </c>
      <c r="F8" s="11" t="n">
        <v>0.0042325991864246</v>
      </c>
      <c r="G8" s="11" t="n">
        <v>0.2446829847134061</v>
      </c>
      <c r="H8" s="11" t="n">
        <v>0.297156535158503</v>
      </c>
      <c r="I8" s="11" t="n">
        <v>0.1484323881655295</v>
      </c>
      <c r="J8" s="11" t="n">
        <v>0.1029669437770276</v>
      </c>
      <c r="K8" s="11" t="n">
        <v>0.132018617125873</v>
      </c>
      <c r="L8" s="11" t="n">
        <v>0.0422974970136617</v>
      </c>
      <c r="M8" s="11" t="n">
        <v>0.0282124348595738</v>
      </c>
      <c r="N8" s="11" t="n">
        <v>0.00378403030898</v>
      </c>
      <c r="O8" s="11" t="n">
        <v>0.0004485688774446</v>
      </c>
      <c r="P8" s="11" t="n">
        <v>0.0287940062015613</v>
      </c>
      <c r="Q8" s="11" t="n">
        <v>0.1615361945679151</v>
      </c>
      <c r="R8" s="11" t="n">
        <v>0.0543527839439297</v>
      </c>
      <c r="S8" s="11" t="n">
        <v>0.0575647178860598</v>
      </c>
      <c r="T8" s="11" t="n">
        <v>0.2395918172724432</v>
      </c>
      <c r="U8" s="11" t="n">
        <v>0.0349228398952305</v>
      </c>
      <c r="V8" s="11" t="n">
        <v>0.0833027821840636</v>
      </c>
      <c r="W8" s="11" t="n">
        <v>0.0302067660862354</v>
      </c>
      <c r="X8" s="11" t="n">
        <v>0.022257762456471</v>
      </c>
      <c r="Y8" s="11" t="n">
        <v>0.0276910239349138</v>
      </c>
      <c r="Z8" s="11" t="n">
        <v>0.0530181573856428</v>
      </c>
      <c r="AA8" s="11">
        <f>SUM(K8:Z8)</f>
        <v/>
      </c>
    </row>
    <row r="9">
      <c r="A9" s="8" t="inlineStr">
        <is>
          <t>OE12-3-40POS.raw Peak area</t>
        </is>
      </c>
      <c r="B9" s="8" t="inlineStr">
        <is>
          <t>Future_Control</t>
        </is>
      </c>
      <c r="C9" s="8" t="inlineStr">
        <is>
          <t>Future</t>
        </is>
      </c>
      <c r="D9" s="8" t="inlineStr">
        <is>
          <t>No_drought</t>
        </is>
      </c>
      <c r="E9" s="11" t="n">
        <v>0.1869777893915676</v>
      </c>
      <c r="F9" s="11" t="n">
        <v>0.0035388039777871</v>
      </c>
      <c r="G9" s="11" t="n">
        <v>0.2758693781192404</v>
      </c>
      <c r="H9" s="11" t="n">
        <v>0.2597894446999833</v>
      </c>
      <c r="I9" s="11" t="n">
        <v>0.1507069269096787</v>
      </c>
      <c r="J9" s="11" t="n">
        <v>0.1231176569017421</v>
      </c>
      <c r="K9" s="11" t="n">
        <v>0.108854568180656</v>
      </c>
      <c r="L9" s="11" t="n">
        <v>0.0350490889542675</v>
      </c>
      <c r="M9" s="11" t="n">
        <v>0.0430741322566441</v>
      </c>
      <c r="N9" s="11" t="n">
        <v>0.0032788510191316</v>
      </c>
      <c r="O9" s="11" t="n">
        <v>0.0002599529586555</v>
      </c>
      <c r="P9" s="11" t="n">
        <v>0.0274251250647727</v>
      </c>
      <c r="Q9" s="11" t="n">
        <v>0.1934106232844906</v>
      </c>
      <c r="R9" s="11" t="n">
        <v>0.0550336297699771</v>
      </c>
      <c r="S9" s="11" t="n">
        <v>0.0589708198641372</v>
      </c>
      <c r="T9" s="11" t="n">
        <v>0.2008186248358461</v>
      </c>
      <c r="U9" s="11" t="n">
        <v>0.0345074396608979</v>
      </c>
      <c r="V9" s="11" t="n">
        <v>0.08079877798606409</v>
      </c>
      <c r="W9" s="11" t="n">
        <v>0.0354007092627167</v>
      </c>
      <c r="X9" s="11" t="n">
        <v>0.041009052973671</v>
      </c>
      <c r="Y9" s="11" t="n">
        <v>0.0397405908834999</v>
      </c>
      <c r="Z9" s="11" t="n">
        <v>0.0423680130445712</v>
      </c>
      <c r="AA9" s="11">
        <f>SUM(K9:Z9)</f>
        <v/>
      </c>
    </row>
    <row r="10">
      <c r="A10" s="8" t="inlineStr">
        <is>
          <t>OE12-3-27POS.raw Peak area</t>
        </is>
      </c>
      <c r="B10" s="8" t="inlineStr">
        <is>
          <t>Future_Drought</t>
        </is>
      </c>
      <c r="C10" s="8" t="inlineStr">
        <is>
          <t>Future</t>
        </is>
      </c>
      <c r="D10" s="8" t="inlineStr">
        <is>
          <t>Drought</t>
        </is>
      </c>
      <c r="E10" s="11" t="n">
        <v>0.200305714677684</v>
      </c>
      <c r="F10" s="11" t="n">
        <v>0.002085238547277</v>
      </c>
      <c r="G10" s="11" t="n">
        <v>0.2750876138580111</v>
      </c>
      <c r="H10" s="11" t="n">
        <v>0.2771838629840608</v>
      </c>
      <c r="I10" s="11" t="n">
        <v>0.1451297607133738</v>
      </c>
      <c r="J10" s="11" t="n">
        <v>0.1002078092195927</v>
      </c>
      <c r="K10" s="11" t="n">
        <v>0.1488925633667857</v>
      </c>
      <c r="L10" s="11" t="n">
        <v>0.0292378692944284</v>
      </c>
      <c r="M10" s="11" t="n">
        <v>0.0221752820164699</v>
      </c>
      <c r="N10" s="11" t="n">
        <v>0.0017174575350786</v>
      </c>
      <c r="O10" s="11" t="n">
        <v>0.0003677810121984</v>
      </c>
      <c r="P10" s="11" t="n">
        <v>0.0396939422763689</v>
      </c>
      <c r="Q10" s="11" t="n">
        <v>0.1819267887661846</v>
      </c>
      <c r="R10" s="11" t="n">
        <v>0.0534668828154576</v>
      </c>
      <c r="S10" s="11" t="n">
        <v>0.0613363521536073</v>
      </c>
      <c r="T10" s="11" t="n">
        <v>0.2158475108304535</v>
      </c>
      <c r="U10" s="11" t="n">
        <v>0.04719610708215</v>
      </c>
      <c r="V10" s="11" t="n">
        <v>0.0498870219054878</v>
      </c>
      <c r="W10" s="11" t="n">
        <v>0.048046631725736</v>
      </c>
      <c r="X10" s="11" t="n">
        <v>0.022808458994907</v>
      </c>
      <c r="Y10" s="11" t="n">
        <v>0.027451975718092</v>
      </c>
      <c r="Z10" s="11" t="n">
        <v>0.0499473745065937</v>
      </c>
      <c r="AA10" s="11">
        <f>SUM(K10:Z10)</f>
        <v/>
      </c>
    </row>
    <row r="11">
      <c r="A11" s="8" t="inlineStr">
        <is>
          <t>OE12-3-28POS.raw Peak area</t>
        </is>
      </c>
      <c r="B11" s="8" t="inlineStr">
        <is>
          <t>Ambient_Drought</t>
        </is>
      </c>
      <c r="C11" s="8" t="inlineStr">
        <is>
          <t>Ambient</t>
        </is>
      </c>
      <c r="D11" s="8" t="inlineStr">
        <is>
          <t>Drought</t>
        </is>
      </c>
      <c r="E11" s="11" t="n">
        <v>0.199454251291804</v>
      </c>
      <c r="F11" s="11" t="n">
        <v>0.0021313364555035</v>
      </c>
      <c r="G11" s="11" t="n">
        <v>0.2337230411092076</v>
      </c>
      <c r="H11" s="11" t="n">
        <v>0.2721782382383478</v>
      </c>
      <c r="I11" s="11" t="n">
        <v>0.1775960357161036</v>
      </c>
      <c r="J11" s="11" t="n">
        <v>0.1149170971890326</v>
      </c>
      <c r="K11" s="11" t="n">
        <v>0.115177094256292</v>
      </c>
      <c r="L11" s="11" t="n">
        <v>0.0499358288562174</v>
      </c>
      <c r="M11" s="11" t="n">
        <v>0.0343413281792946</v>
      </c>
      <c r="N11" s="11" t="n">
        <v>0.0019617094016465</v>
      </c>
      <c r="O11" s="11" t="n">
        <v>0.000169627053857</v>
      </c>
      <c r="P11" s="11" t="n">
        <v>0.0464337553897028</v>
      </c>
      <c r="Q11" s="11" t="n">
        <v>0.1412773366083337</v>
      </c>
      <c r="R11" s="11" t="n">
        <v>0.0460119491111711</v>
      </c>
      <c r="S11" s="11" t="n">
        <v>0.0760758646840107</v>
      </c>
      <c r="T11" s="11" t="n">
        <v>0.1961023735543371</v>
      </c>
      <c r="U11" s="11" t="n">
        <v>0.050660993444079</v>
      </c>
      <c r="V11" s="11" t="n">
        <v>0.0785736906510637</v>
      </c>
      <c r="W11" s="11" t="n">
        <v>0.0483613516209609</v>
      </c>
      <c r="X11" s="11" t="n">
        <v>0.0173765311611224</v>
      </c>
      <c r="Y11" s="11" t="n">
        <v>0.0440681683037149</v>
      </c>
      <c r="Z11" s="11" t="n">
        <v>0.0534723977241953</v>
      </c>
      <c r="AA11" s="11">
        <f>SUM(K11:Z11)</f>
        <v/>
      </c>
    </row>
    <row r="12">
      <c r="A12" s="8" t="inlineStr">
        <is>
          <t>OE12-3-35POS.raw Peak area</t>
        </is>
      </c>
      <c r="B12" s="8" t="inlineStr">
        <is>
          <t>Future_Control</t>
        </is>
      </c>
      <c r="C12" s="8" t="inlineStr">
        <is>
          <t>Future</t>
        </is>
      </c>
      <c r="D12" s="8" t="inlineStr">
        <is>
          <t>No_drought</t>
        </is>
      </c>
      <c r="E12" s="11" t="n">
        <v>0.2165287989909257</v>
      </c>
      <c r="F12" s="11" t="n">
        <v>0.0036313228570378</v>
      </c>
      <c r="G12" s="11" t="n">
        <v>0.252395927188564</v>
      </c>
      <c r="H12" s="11" t="n">
        <v>0.2830043877011875</v>
      </c>
      <c r="I12" s="11" t="n">
        <v>0.1404137638251293</v>
      </c>
      <c r="J12" s="11" t="n">
        <v>0.104025799437155</v>
      </c>
      <c r="K12" s="11" t="n">
        <v>0.135883061608235</v>
      </c>
      <c r="L12" s="11" t="n">
        <v>0.0409526717657695</v>
      </c>
      <c r="M12" s="11" t="n">
        <v>0.0396930656169212</v>
      </c>
      <c r="N12" s="11" t="n">
        <v>0.0032527875188222</v>
      </c>
      <c r="O12" s="11" t="n">
        <v>0.0003785353382156</v>
      </c>
      <c r="P12" s="11" t="n">
        <v>0.0400932656297708</v>
      </c>
      <c r="Q12" s="11" t="n">
        <v>0.1619362392112618</v>
      </c>
      <c r="R12" s="11" t="n">
        <v>0.0503664223475314</v>
      </c>
      <c r="S12" s="11" t="n">
        <v>0.055107058928008</v>
      </c>
      <c r="T12" s="11" t="n">
        <v>0.2278973287731795</v>
      </c>
      <c r="U12" s="11" t="n">
        <v>0.0359533537559538</v>
      </c>
      <c r="V12" s="11" t="n">
        <v>0.07990485499201511</v>
      </c>
      <c r="W12" s="11" t="n">
        <v>0.0245555550771604</v>
      </c>
      <c r="X12" s="11" t="n">
        <v>0.0223233379067246</v>
      </c>
      <c r="Y12" s="11" t="n">
        <v>0.0373503559635015</v>
      </c>
      <c r="Z12" s="11" t="n">
        <v>0.0443521055669289</v>
      </c>
      <c r="AA12" s="11">
        <f>SUM(K12:Z12)</f>
        <v/>
      </c>
    </row>
    <row r="13">
      <c r="A13" s="8" t="inlineStr">
        <is>
          <t>OE12-3-36POS.raw Peak area</t>
        </is>
      </c>
      <c r="B13" s="8" t="inlineStr">
        <is>
          <t>Ambient_Control</t>
        </is>
      </c>
      <c r="C13" s="8" t="inlineStr">
        <is>
          <t>Ambient</t>
        </is>
      </c>
      <c r="D13" s="8" t="inlineStr">
        <is>
          <t>No_drought</t>
        </is>
      </c>
      <c r="E13" s="11" t="n">
        <v>0.1674684542632652</v>
      </c>
      <c r="F13" s="11" t="n">
        <v>0.0037117737312113</v>
      </c>
      <c r="G13" s="11" t="n">
        <v>0.3299487416663695</v>
      </c>
      <c r="H13" s="11" t="n">
        <v>0.2449528137958213</v>
      </c>
      <c r="I13" s="11" t="n">
        <v>0.1418847745553932</v>
      </c>
      <c r="J13" s="11" t="n">
        <v>0.112033441987939</v>
      </c>
      <c r="K13" s="11" t="n">
        <v>0.1060704486172958</v>
      </c>
      <c r="L13" s="11" t="n">
        <v>0.0303890454842048</v>
      </c>
      <c r="M13" s="11" t="n">
        <v>0.0310089601617646</v>
      </c>
      <c r="N13" s="11" t="n">
        <v>0.0033086367421052</v>
      </c>
      <c r="O13" s="11" t="n">
        <v>0.0004031369891061</v>
      </c>
      <c r="P13" s="11" t="n">
        <v>0.0416284378278746</v>
      </c>
      <c r="Q13" s="11" t="n">
        <v>0.2324533009916962</v>
      </c>
      <c r="R13" s="11" t="n">
        <v>0.0558670028467987</v>
      </c>
      <c r="S13" s="11" t="n">
        <v>0.0592501273388537</v>
      </c>
      <c r="T13" s="11" t="n">
        <v>0.1857026864569676</v>
      </c>
      <c r="U13" s="11" t="n">
        <v>0.0269234779427291</v>
      </c>
      <c r="V13" s="11" t="n">
        <v>0.079014138737506</v>
      </c>
      <c r="W13" s="11" t="n">
        <v>0.0359471578751581</v>
      </c>
      <c r="X13" s="11" t="n">
        <v>0.0361167711478181</v>
      </c>
      <c r="Y13" s="11" t="n">
        <v>0.0336537351235414</v>
      </c>
      <c r="Z13" s="11" t="n">
        <v>0.0422629357165795</v>
      </c>
      <c r="AA13" s="11">
        <f>SUM(K13:Z13)</f>
        <v/>
      </c>
    </row>
    <row r="14">
      <c r="A14" s="8" t="inlineStr">
        <is>
          <t>OE12-3-52POS.raw Peak area</t>
        </is>
      </c>
      <c r="B14" s="8" t="inlineStr">
        <is>
          <t>Future_Control</t>
        </is>
      </c>
      <c r="C14" s="8" t="inlineStr">
        <is>
          <t>Future</t>
        </is>
      </c>
      <c r="D14" s="8" t="inlineStr">
        <is>
          <t>No_drought</t>
        </is>
      </c>
      <c r="E14" s="11" t="n">
        <v>0.1607452254681314</v>
      </c>
      <c r="F14" s="11" t="n">
        <v>0.0022422796095223</v>
      </c>
      <c r="G14" s="11" t="n">
        <v>0.306792244354349</v>
      </c>
      <c r="H14" s="11" t="n">
        <v>0.3245359069624986</v>
      </c>
      <c r="I14" s="11" t="n">
        <v>0.1159988919603373</v>
      </c>
      <c r="J14" s="11" t="n">
        <v>0.0896854516451608</v>
      </c>
      <c r="K14" s="11" t="n">
        <v>0.1037088590144431</v>
      </c>
      <c r="L14" s="11" t="n">
        <v>0.0314637455074459</v>
      </c>
      <c r="M14" s="11" t="n">
        <v>0.0255726209462424</v>
      </c>
      <c r="N14" s="11" t="n">
        <v>0.0019722082899236</v>
      </c>
      <c r="O14" s="11" t="n">
        <v>0.0002700713195987</v>
      </c>
      <c r="P14" s="11" t="n">
        <v>0.0617391807654319</v>
      </c>
      <c r="Q14" s="11" t="n">
        <v>0.1945521056561677</v>
      </c>
      <c r="R14" s="11" t="n">
        <v>0.0505009579327494</v>
      </c>
      <c r="S14" s="11" t="n">
        <v>0.0723773048584562</v>
      </c>
      <c r="T14" s="11" t="n">
        <v>0.2521586021040424</v>
      </c>
      <c r="U14" s="11" t="n">
        <v>0.0342299987015975</v>
      </c>
      <c r="V14" s="11" t="n">
        <v>0.0518895899538075</v>
      </c>
      <c r="W14" s="11" t="n">
        <v>0.0298793033049323</v>
      </c>
      <c r="X14" s="11" t="n">
        <v>0.0221266908141738</v>
      </c>
      <c r="Y14" s="11" t="n">
        <v>0.0288032233795611</v>
      </c>
      <c r="Z14" s="11" t="n">
        <v>0.0387555374514259</v>
      </c>
      <c r="AA14" s="11">
        <f>SUM(K14:Z14)</f>
        <v/>
      </c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2026-08-12T11:35:31Z</dcterms:created>
  <dcterms:modified xsi:type="dcterms:W3CDTF">2026-08-12T11:35:31Z</dcterms:modified>
</cp:coreProperties>
</file>
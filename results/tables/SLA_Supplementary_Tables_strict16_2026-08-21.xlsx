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S1_Notes" sheetId="2" state="visible" r:id="rId2"/>
    <sheet name="S1_Per_sample_inventory" sheetId="3" state="visible" r:id="rId3"/>
    <sheet name="S1_Per_phylum_summary" sheetId="4" state="visible" r:id="rId4"/>
    <sheet name="S2_Notes" sheetId="5" state="visible" r:id="rId5"/>
    <sheet name="S2_Table" sheetId="6" state="visible" r:id="rId6"/>
    <sheet name="S2_Batch_by_phylum" sheetId="7" state="visible" r:id="rId7"/>
    <sheet name="S3_Diagnostic_ion_database" sheetId="8" state="visible" r:id="rId8"/>
    <sheet name="S3_Notes_and_provenance" sheetId="9" state="visible" r:id="rId9"/>
    <sheet name="S4_Notes" sheetId="10" state="visible" r:id="rId10"/>
    <sheet name="S4_Table" sheetId="11" state="visible" r:id="rId11"/>
    <sheet name="S4_Full_results" sheetId="12" state="visible" r:id="rId12"/>
    <sheet name="S4_Vs_submitted" sheetId="13" state="visible" r:id="rId13"/>
    <sheet name="S5_Notes" sheetId="14" state="visible" r:id="rId14"/>
    <sheet name="S5_Positive_mode" sheetId="15" state="visible" r:id="rId15"/>
    <sheet name="S5_Negative_mode" sheetId="16" state="visible" r:id="rId16"/>
    <sheet name="S6_Notes" sheetId="17" state="visible" r:id="rId17"/>
    <sheet name="S6_Table" sheetId="18" state="visible" r:id="rId18"/>
    <sheet name="S7_Notes" sheetId="19" state="visible" r:id="rId19"/>
    <sheet name="S7_RIE_all_adducts" sheetId="20" state="visible" r:id="rId20"/>
    <sheet name="S7_RIE_positive_mode" sheetId="21" state="visible" r:id="rId21"/>
    <sheet name="S8_Notes" sheetId="22" state="visible" r:id="rId22"/>
    <sheet name="S8_Kingdom_by_treatment" sheetId="23" state="visible" r:id="rId23"/>
    <sheet name="S8_Phylum_by_treatment" sheetId="24" state="visible" r:id="rId24"/>
    <sheet name="S8_Treatment_effects" sheetId="25" state="visible" r:id="rId25"/>
    <sheet name="S8_Per_sample_fcweighted" sheetId="26" state="visible" r:id="rId26"/>
    <sheet name="S8_Per_sample_markerpanel" sheetId="27" state="visible" r:id="rId27"/>
    <sheet name="S9_Notes" sheetId="28" state="visible" r:id="rId28"/>
    <sheet name="S9_Coverage_overall" sheetId="29" state="visible" r:id="rId29"/>
    <sheet name="S9_Coverage_by_phylum_POS" sheetId="30" state="visible" r:id="rId30"/>
    <sheet name="S9_Coverage_by_phylum_NEG" sheetId="31" state="visible" r:id="rId31"/>
    <sheet name="S9_NPC_pathway_by_phylum_POS" sheetId="32" state="visible" r:id="rId32"/>
    <sheet name="S9_NPC_pathway_by_phylum_NEG" sheetId="33" state="visible" r:id="rId33"/>
    <sheet name="S10_Notes" sheetId="34" state="visible" r:id="rId34"/>
    <sheet name="S10_Table" sheetId="35" state="visible" r:id="rId35"/>
    <sheet name="S11_Notes" sheetId="36" state="visible" r:id="rId36"/>
    <sheet name="S11_Mantel_reconstruction" sheetId="37" state="visible" r:id="rId37"/>
    <sheet name="S11_Random_null" sheetId="38" state="visible" r:id="rId38"/>
    <sheet name="S12_Notes" sheetId="39" state="visible" r:id="rId39"/>
    <sheet name="S12_Consensus_per_phylum" sheetId="40" state="visible" r:id="rId40"/>
    <sheet name="S13_Notes" sheetId="41" state="visible" r:id="rId41"/>
    <sheet name="S13_Accuracy_by_method_K" sheetId="42" state="visible" r:id="rId42"/>
    <sheet name="S13_Accuracy_by_phylum" sheetId="43" state="visible" r:id="rId43"/>
    <sheet name="S14_Notes" sheetId="44" state="visible" r:id="rId44"/>
    <sheet name="S14_ClimGrass_overlap" sheetId="45" state="visible" r:id="rId45"/>
    <sheet name="S14_Overlap_detail" sheetId="46" state="visible" r:id="rId46"/>
    <sheet name="S15_Notes" sheetId="47" state="visible" r:id="rId47"/>
    <sheet name="S15_Cladogram" sheetId="48" state="visible" r:id="rId48"/>
  </sheets>
  <definedNames/>
  <calcPr calcId="124519" fullCalcOnLoad="1"/>
</workbook>
</file>

<file path=xl/styles.xml><?xml version="1.0" encoding="utf-8"?>
<styleSheet xmlns="http://schemas.openxmlformats.org/spreadsheetml/2006/main">
  <numFmts count="4">
    <numFmt numFmtId="164" formatCode="0.000000"/>
    <numFmt numFmtId="165" formatCode="0.000"/>
    <numFmt numFmtId="166" formatCode="0.0000"/>
    <numFmt numFmtId="167" formatCode="0.0%"/>
  </numFmts>
  <fonts count="22">
    <font>
      <name val="Calibri"/>
      <family val="2"/>
      <color theme="1"/>
      <sz val="11"/>
      <scheme val="minor"/>
    </font>
    <font>
      <b val="1"/>
      <sz val="11"/>
    </font>
    <font>
      <b val="1"/>
    </font>
    <font>
      <name val="Arial"/>
      <b val="1"/>
      <sz val="11"/>
    </font>
    <font>
      <name val="Arial"/>
      <sz val="11"/>
    </font>
    <font>
      <name val="Arial"/>
      <i val="1"/>
      <sz val="10"/>
    </font>
    <font>
      <name val="Arial"/>
      <b val="1"/>
      <sz val="10"/>
    </font>
    <font>
      <name val="Arial"/>
      <sz val="10"/>
    </font>
    <font>
      <name val="Arial"/>
      <i val="1"/>
      <sz val="9"/>
    </font>
    <font>
      <name val="Arial"/>
      <b val="1"/>
      <color rgb="FFFFFFFF"/>
      <sz val="10"/>
    </font>
    <font>
      <name val="Arial"/>
      <color rgb="FF222222"/>
      <sz val="10"/>
    </font>
    <font>
      <name val="Arial"/>
      <b val="1"/>
      <color rgb="FFFFFFFF"/>
      <sz val="14"/>
    </font>
    <font>
      <name val="Carlito"/>
      <sz val="11"/>
    </font>
    <font>
      <name val="Arial"/>
      <b val="1"/>
      <color rgb="FF1F1F1F"/>
      <sz val="10"/>
    </font>
    <font>
      <name val="Arial"/>
      <b val="1"/>
      <color rgb="FF7F6000"/>
      <sz val="10"/>
    </font>
    <font>
      <name val="Arial"/>
      <b val="1"/>
      <color rgb="001F4E5F"/>
      <sz val="13"/>
    </font>
    <font>
      <name val="Arial"/>
      <i val="1"/>
      <color rgb="00333333"/>
      <sz val="9"/>
    </font>
    <font>
      <name val="Arial"/>
      <b val="1"/>
      <sz val="9"/>
    </font>
    <font>
      <name val="Arial"/>
      <color rgb="00404040"/>
      <sz val="8"/>
    </font>
    <font>
      <name val="Arial"/>
      <i val="1"/>
      <color rgb="00404040"/>
      <sz val="8"/>
    </font>
    <font>
      <name val="Arial"/>
      <b val="1"/>
      <color rgb="00FFFFFF"/>
      <sz val="10"/>
    </font>
    <font>
      <name val="Arial"/>
      <b val="1"/>
      <sz val="13"/>
    </font>
  </fonts>
  <fills count="9">
    <fill>
      <patternFill/>
    </fill>
    <fill>
      <patternFill patternType="gray125"/>
    </fill>
    <fill>
      <patternFill patternType="solid">
        <fgColor rgb="00D9D9D9"/>
      </patternFill>
    </fill>
    <fill>
      <patternFill patternType="solid">
        <fgColor rgb="00FFF2CC"/>
      </patternFill>
    </fill>
    <fill>
      <patternFill patternType="solid">
        <fgColor rgb="FF1F4E78"/>
      </patternFill>
    </fill>
    <fill>
      <patternFill patternType="solid">
        <fgColor rgb="FFD9EAF7"/>
      </patternFill>
    </fill>
    <fill>
      <patternFill patternType="solid">
        <fgColor rgb="FFFFF2CC"/>
      </patternFill>
    </fill>
    <fill>
      <patternFill patternType="solid">
        <fgColor rgb="00EAEAEA"/>
      </patternFill>
    </fill>
    <fill>
      <patternFill patternType="solid">
        <fgColor rgb="001F4E5F"/>
      </patternFill>
    </fill>
  </fills>
  <borders count="6">
    <border>
      <left/>
      <right/>
      <top/>
      <bottom/>
      <diagonal/>
    </border>
    <border>
      <left style="thin"/>
      <right style="thin"/>
      <top style="thin"/>
      <bottom style="thin"/>
    </border>
    <border>
      <left style="thin">
        <color rgb="FFD9E2F3"/>
      </left>
      <right style="thin">
        <color rgb="FFD9E2F3"/>
      </right>
      <top style="thin">
        <color rgb="FFD9E2F3"/>
      </top>
      <bottom style="thin">
        <color rgb="FFD9E2F3"/>
      </bottom>
    </border>
    <border/>
    <border>
      <left style="thin">
        <color rgb="FFB4C7E7"/>
      </left>
      <right style="thin">
        <color rgb="FFB4C7E7"/>
      </right>
      <top style="thin">
        <color rgb="FFB4C7E7"/>
      </top>
      <bottom style="thin">
        <color rgb="FFB4C7E7"/>
      </bottom>
    </border>
    <border>
      <left style="thin">
        <color rgb="00BBBBBB"/>
      </left>
      <right style="thin">
        <color rgb="00BBBBBB"/>
      </right>
      <top style="thin">
        <color rgb="00BBBBBB"/>
      </top>
      <bottom style="thin">
        <color rgb="00BBBBBB"/>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xf numFmtId="0" fontId="5" fillId="0" borderId="0" pivotButton="0" quotePrefix="0" xfId="0"/>
    <xf numFmtId="0" fontId="6" fillId="2" borderId="1" applyAlignment="1" pivotButton="0" quotePrefix="0" xfId="0">
      <alignment vertical="bottom" wrapText="1"/>
    </xf>
    <xf numFmtId="0" fontId="7" fillId="0" borderId="0" pivotButton="0" quotePrefix="0" xfId="0"/>
    <xf numFmtId="0" fontId="7" fillId="3" borderId="0" pivotButton="0" quotePrefix="0" xfId="0"/>
    <xf numFmtId="0" fontId="8" fillId="0" borderId="0" pivotButton="0" quotePrefix="0" xfId="0"/>
    <xf numFmtId="0" fontId="7" fillId="0" borderId="0" applyAlignment="1" pivotButton="0" quotePrefix="0" xfId="0">
      <alignment vertical="top" wrapText="1"/>
    </xf>
    <xf numFmtId="0" fontId="6" fillId="0" borderId="0" applyAlignment="1" pivotButton="0" quotePrefix="0" xfId="0">
      <alignment vertical="top" wrapText="1"/>
    </xf>
    <xf numFmtId="0" fontId="9" fillId="4" borderId="2" applyAlignment="1" pivotButton="0" quotePrefix="0" xfId="0">
      <alignment vertical="center" wrapText="1"/>
    </xf>
    <xf numFmtId="0" fontId="10" fillId="0" borderId="2" pivotButton="0" quotePrefix="0" xfId="0"/>
    <xf numFmtId="0" fontId="11" fillId="4" borderId="3" applyAlignment="1" pivotButton="0" quotePrefix="0" xfId="0">
      <alignment vertical="center"/>
    </xf>
    <xf numFmtId="0" fontId="13" fillId="5" borderId="4" pivotButton="0" quotePrefix="0" xfId="0"/>
    <xf numFmtId="0" fontId="10" fillId="0" borderId="4" applyAlignment="1" pivotButton="0" quotePrefix="0" xfId="0">
      <alignment wrapText="1"/>
    </xf>
    <xf numFmtId="0" fontId="14" fillId="6" borderId="3" applyAlignment="1" pivotButton="0" quotePrefix="0" xfId="0">
      <alignment vertical="center" wrapText="1"/>
    </xf>
    <xf numFmtId="0" fontId="6" fillId="2" borderId="1" applyAlignment="1" pivotButton="0" quotePrefix="0" xfId="0">
      <alignment horizontal="left" vertical="bottom" wrapText="1"/>
    </xf>
    <xf numFmtId="0" fontId="6" fillId="2" borderId="1" applyAlignment="1" pivotButton="0" quotePrefix="0" xfId="0">
      <alignment horizontal="center" vertical="bottom" wrapText="1"/>
    </xf>
    <xf numFmtId="0" fontId="6" fillId="7" borderId="0" pivotButton="0" quotePrefix="0" xfId="0"/>
    <xf numFmtId="0" fontId="0" fillId="7" borderId="0" pivotButton="0" quotePrefix="0" xfId="0"/>
    <xf numFmtId="0" fontId="15" fillId="0" borderId="0" pivotButton="0" quotePrefix="0" xfId="0"/>
    <xf numFmtId="0" fontId="16" fillId="0" borderId="0" applyAlignment="1" pivotButton="0" quotePrefix="0" xfId="0">
      <alignment vertical="top" wrapText="1"/>
    </xf>
    <xf numFmtId="0" fontId="17" fillId="0" borderId="0" pivotButton="0" quotePrefix="0" xfId="0"/>
    <xf numFmtId="0" fontId="18"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20" fillId="8" borderId="5" applyAlignment="1" pivotButton="0" quotePrefix="0" xfId="0">
      <alignment horizontal="center" vertical="center" wrapText="1"/>
    </xf>
    <xf numFmtId="0" fontId="7" fillId="0" borderId="5" applyAlignment="1" pivotButton="0" quotePrefix="0" xfId="0">
      <alignment horizontal="left" vertical="center" wrapText="1"/>
    </xf>
    <xf numFmtId="0" fontId="7" fillId="0" borderId="5" applyAlignment="1" pivotButton="0" quotePrefix="0" xfId="0">
      <alignment horizontal="center" vertical="center"/>
    </xf>
    <xf numFmtId="0" fontId="7" fillId="0" borderId="5" applyAlignment="1" pivotButton="0" quotePrefix="0" xfId="0">
      <alignment horizontal="center" vertical="center" wrapText="1"/>
    </xf>
    <xf numFmtId="0" fontId="21" fillId="0" borderId="0" applyAlignment="1" pivotButton="0" quotePrefix="0" xfId="0">
      <alignment vertical="top" wrapText="1"/>
    </xf>
    <xf numFmtId="0" fontId="8" fillId="0" borderId="0" applyAlignment="1" pivotButton="0" quotePrefix="0" xfId="0">
      <alignment vertical="top" wrapText="1"/>
    </xf>
    <xf numFmtId="0" fontId="21" fillId="0" borderId="0" pivotButton="0" quotePrefix="0" xfId="0"/>
    <xf numFmtId="164" fontId="7" fillId="0" borderId="0" pivotButton="0" quotePrefix="0" xfId="0"/>
    <xf numFmtId="0" fontId="6" fillId="0" borderId="0" pivotButton="0" quotePrefix="0" xfId="0"/>
    <xf numFmtId="2" fontId="7" fillId="0" borderId="0" pivotButton="0" quotePrefix="0" xfId="0"/>
    <xf numFmtId="165" fontId="7" fillId="0" borderId="0" pivotButton="0" quotePrefix="0" xfId="0"/>
    <xf numFmtId="166" fontId="7" fillId="0" borderId="0" pivotButton="0" quotePrefix="0" xfId="0"/>
    <xf numFmtId="167" fontId="7" fillId="0" borderId="0" pivotButton="0" quotePrefix="0" xfId="0"/>
    <xf numFmtId="167" fontId="6" fillId="0" borderId="0" pivotButton="0" quotePrefix="0" xfId="0"/>
    <xf numFmtId="165"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12" customWidth="1" min="1" max="1"/>
    <col width="40" customWidth="1" min="2" max="2"/>
  </cols>
  <sheetData>
    <row r="1">
      <c r="A1" s="1" t="inlineStr">
        <is>
          <t>Supplementary Tables S1-S15 — strict-16 release ncbi-phylum-2026-08-04-v1</t>
        </is>
      </c>
    </row>
    <row r="3">
      <c r="A3" s="2" t="inlineStr">
        <is>
          <t>Sheet</t>
        </is>
      </c>
      <c r="B3" s="2" t="inlineStr">
        <is>
          <t>Table</t>
        </is>
      </c>
    </row>
    <row r="4">
      <c r="A4" t="inlineStr">
        <is>
          <t>S1</t>
        </is>
      </c>
      <c r="B4" t="inlineStr">
        <is>
          <t>Supplementary Table S1</t>
        </is>
      </c>
    </row>
    <row r="5">
      <c r="A5" t="inlineStr">
        <is>
          <t>S2</t>
        </is>
      </c>
      <c r="B5" t="inlineStr">
        <is>
          <t>Supplementary Table S2</t>
        </is>
      </c>
    </row>
    <row r="6">
      <c r="A6" t="inlineStr">
        <is>
          <t>S3</t>
        </is>
      </c>
      <c r="B6" t="inlineStr">
        <is>
          <t>Supplementary Table S3</t>
        </is>
      </c>
    </row>
    <row r="7">
      <c r="A7" t="inlineStr">
        <is>
          <t>S4</t>
        </is>
      </c>
      <c r="B7" t="inlineStr">
        <is>
          <t>Supplementary Table S4</t>
        </is>
      </c>
    </row>
    <row r="8">
      <c r="A8" t="inlineStr">
        <is>
          <t>S5</t>
        </is>
      </c>
      <c r="B8" t="inlineStr">
        <is>
          <t>Supplementary Table S5</t>
        </is>
      </c>
    </row>
    <row r="9">
      <c r="A9" t="inlineStr">
        <is>
          <t>S6</t>
        </is>
      </c>
      <c r="B9" t="inlineStr">
        <is>
          <t>Supplementary Table S6</t>
        </is>
      </c>
    </row>
    <row r="10">
      <c r="A10" t="inlineStr">
        <is>
          <t>S7</t>
        </is>
      </c>
      <c r="B10" t="inlineStr">
        <is>
          <t>Supplementary Table S7</t>
        </is>
      </c>
    </row>
    <row r="11">
      <c r="A11" t="inlineStr">
        <is>
          <t>S8</t>
        </is>
      </c>
      <c r="B11" t="inlineStr">
        <is>
          <t>Supplementary Table S8</t>
        </is>
      </c>
    </row>
    <row r="12">
      <c r="A12" t="inlineStr">
        <is>
          <t>S9</t>
        </is>
      </c>
      <c r="B12" t="inlineStr">
        <is>
          <t>Supplementary Table S9</t>
        </is>
      </c>
    </row>
    <row r="13">
      <c r="A13" t="inlineStr">
        <is>
          <t>S10</t>
        </is>
      </c>
      <c r="B13" t="inlineStr">
        <is>
          <t>Supplementary Table S10</t>
        </is>
      </c>
    </row>
    <row r="14">
      <c r="A14" t="inlineStr">
        <is>
          <t>S11</t>
        </is>
      </c>
      <c r="B14" t="inlineStr">
        <is>
          <t>Supplementary Table S11</t>
        </is>
      </c>
    </row>
    <row r="15">
      <c r="A15" t="inlineStr">
        <is>
          <t>S12</t>
        </is>
      </c>
      <c r="B15" t="inlineStr">
        <is>
          <t>Supplementary Table S12</t>
        </is>
      </c>
    </row>
    <row r="16">
      <c r="A16" t="inlineStr">
        <is>
          <t>S13</t>
        </is>
      </c>
      <c r="B16" t="inlineStr">
        <is>
          <t>Supplementary Table S13</t>
        </is>
      </c>
    </row>
    <row r="17">
      <c r="A17" t="inlineStr">
        <is>
          <t>S14</t>
        </is>
      </c>
      <c r="B17" t="inlineStr">
        <is>
          <t>Supplementary Table S14</t>
        </is>
      </c>
    </row>
    <row r="18">
      <c r="A18" t="inlineStr">
        <is>
          <t>S15</t>
        </is>
      </c>
      <c r="B18" t="inlineStr">
        <is>
          <t>Supplementary Table S15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outlineLevelCol="0"/>
  <cols>
    <col width="118" customWidth="1" min="1" max="1"/>
  </cols>
  <sheetData>
    <row r="1">
      <c r="A1" s="3" t="inlineStr">
        <is>
          <t>Supplementary Table S1. Per-sample and per-phylum inventory (strict release)</t>
        </is>
      </c>
    </row>
    <row r="2">
      <c r="A2" s="4" t="n"/>
    </row>
    <row r="3">
      <c r="A3" s="4" t="inlineStr">
        <is>
          <t>Taxonomy release: ncbi-phylum-2026-08-04-v1 (locked). Phylum and kingdom are taken from that release; the labels as submitted are retained alongside so every change is auditable.</t>
        </is>
      </c>
    </row>
    <row r="4">
      <c r="A4" s="4" t="inlineStr">
        <is>
          <t>Rows: 169 carried over from the submitted workbook plus 6 added from the release = 176. NOTE: OE25F3POS.mzML appears twice in the submitted workbook (2 rows share that identity), so its stated count of 170 biological samples is 169 unique samples.</t>
        </is>
      </c>
    </row>
    <row r="5">
      <c r="A5" s="4" t="inlineStr">
        <is>
          <t>6 core-candidate samples of the release are ABSENT from the submitted inventory and have been added here, flagged in the 'Row source' column: ACNeffE25-123POS (Discosea, Acanthamoeba), Lu19POS (Cyanobacteriota, lichen), OE11-3-E4-P27POS (Streptophyta, Ginkgo), OE21-4-F3POS (Ascomycota, Tuber), OE25102891POS (Actinomycetota, Arthrobacter), OE25DSM1988POS (Ascomycota, Aspergillus). Culture-condition fields are unavailable for them. Without these rows S1b would disagree with the release and with Supplementary Figure 7.</t>
        </is>
      </c>
    </row>
    <row r="6">
      <c r="A6" s="4" t="inlineStr">
        <is>
          <t>Phylum label changed for 52 of 176 rows.</t>
        </is>
      </c>
    </row>
    <row r="7">
      <c r="A7" s="4" t="n"/>
    </row>
    <row r="8">
      <c r="A8" s="4" t="inlineStr">
        <is>
          <t>Relabelling applied (release authority, not edited here): Amoebozoa split to Discosea / Evosea; Euryarchaeota and Halobacteriota to Methanobacteriota; Crenarchaeota to Thermoproteota; Bryophyta, Marchantiophyta, Tracheophyta, Magnoliophyta and Charophyta to Streptophyta; Mortierellomycota separated from Mucoromycota.</t>
        </is>
      </c>
    </row>
    <row r="9">
      <c r="A9" s="4" t="n"/>
    </row>
    <row r="10">
      <c r="A10" s="4" t="inlineStr">
        <is>
          <t>Kingdom uses the locked policy's ecological_group naming (Viridiplantae, Protists), which differs from the submitted table's Plantae / Protozoa. Ecological groups are display summaries and are never analysis units.</t>
        </is>
      </c>
    </row>
    <row r="11">
      <c r="A11" s="4" t="n"/>
    </row>
    <row r="12">
      <c r="A12" s="4" t="inlineStr">
        <is>
          <t>Counts: 19 collection phyla; 16 analysis phyla (n&gt;=2 in both polarities). Below threshold: Cercozoa, Cyanobacteriota, Mortierellomycota.</t>
        </is>
      </c>
    </row>
    <row r="13">
      <c r="A13" s="4" t="inlineStr">
        <is>
          <t>Taxonomy scope: core_candidate rows have a valid NCBI phylum ancestor. descriptive_only rows (Bicosoecida, Rootnodules, Mixed) and viral samples are retained in the inventory but excluded from phylum inference, per policy.</t>
        </is>
      </c>
    </row>
    <row r="14">
      <c r="A14" s="4" t="n"/>
    </row>
    <row r="15">
      <c r="A15" s="4" t="inlineStr">
        <is>
          <t>The submitted per-phylum n_species column is NOT reproduced. It is not derivable from any metadata column present and is internally inconsistent (for example Euryarchaeota was published as 4 species across 9 distinct genera). S1b therefore reports distinct genera, the finest rank the metadata determines for every sample - the same decision taken for Supplementary Figure 7.</t>
        </is>
      </c>
    </row>
    <row r="16">
      <c r="A16" s="4" t="n"/>
    </row>
    <row r="17">
      <c r="A17" s="4" t="inlineStr">
        <is>
          <t>Scope: positive mode, matching the submitted table. The release also covers 195 negative-mode core samples.</t>
        </is>
      </c>
    </row>
    <row r="18">
      <c r="A18" s="4" t="n"/>
    </row>
    <row r="19">
      <c r="A19" s="4" t="inlineStr">
        <is>
          <t>Producer: paper2_repro/scripts/build_table_s1_strict16.py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0"/>
  <sheetViews>
    <sheetView workbookViewId="0">
      <selection activeCell="A1" sqref="A1"/>
    </sheetView>
  </sheetViews>
  <sheetFormatPr baseColWidth="8" defaultRowHeight="15" outlineLevelCol="0"/>
  <cols>
    <col width="42" customWidth="1" min="1" max="1"/>
    <col width="29" customWidth="1" min="2" max="2"/>
    <col width="21" customWidth="1" min="3" max="3"/>
    <col width="19" customWidth="1" min="4" max="4"/>
    <col width="19" customWidth="1" min="5" max="5"/>
    <col width="19" customWidth="1" min="6" max="6"/>
    <col width="18" customWidth="1" min="7" max="7"/>
    <col width="24" customWidth="1" min="8" max="8"/>
    <col width="23" customWidth="1" min="9" max="9"/>
    <col width="15" customWidth="1" min="10" max="10"/>
    <col width="23" customWidth="1" min="11" max="11"/>
    <col width="25" customWidth="1" min="12" max="12"/>
    <col width="26" customWidth="1" min="13" max="13"/>
    <col width="37" customWidth="1" min="14" max="14"/>
    <col width="40" customWidth="1" min="15" max="15"/>
    <col width="10" customWidth="1" min="16" max="16"/>
    <col width="10" customWidth="1" min="17" max="17"/>
    <col width="18" customWidth="1" min="18" max="18"/>
    <col width="23" customWidth="1" min="19" max="19"/>
    <col width="15" customWidth="1" min="20" max="20"/>
    <col width="19" customWidth="1" min="21" max="21"/>
    <col width="10" customWidth="1" min="22" max="22"/>
    <col width="27" customWidth="1" min="23" max="23"/>
    <col width="42" customWidth="1" min="24" max="24"/>
    <col width="18" customWidth="1" min="25" max="25"/>
  </cols>
  <sheetData>
    <row r="1">
      <c r="A1" s="5" t="inlineStr">
        <is>
          <t>Supplementary Table S1a. Per-sample inventory (175 unique biological samples, 176 rows as submitted)</t>
        </is>
      </c>
    </row>
    <row r="2">
      <c r="A2" s="6" t="inlineStr">
        <is>
          <t>Phylum and kingdom from the locked release; submitted labels retained.</t>
        </is>
      </c>
    </row>
    <row r="3"/>
    <row r="4">
      <c r="A4" s="7" t="inlineStr">
        <is>
          <t>GNPS Filename</t>
        </is>
      </c>
      <c r="B4" s="7" t="inlineStr">
        <is>
          <t>Original Code</t>
        </is>
      </c>
      <c r="C4" s="7" t="inlineStr">
        <is>
          <t>FBMN_Batch</t>
        </is>
      </c>
      <c r="D4" s="7" t="inlineStr">
        <is>
          <t>Kingdom (release)</t>
        </is>
      </c>
      <c r="E4" s="7" t="inlineStr">
        <is>
          <t>Phylum (release)</t>
        </is>
      </c>
      <c r="F4" s="7" t="inlineStr">
        <is>
          <t>NCBI phylum taxid</t>
        </is>
      </c>
      <c r="G4" s="7" t="inlineStr">
        <is>
          <t>Taxonomy scope</t>
        </is>
      </c>
      <c r="H4" s="7" t="inlineStr">
        <is>
          <t>Kingdom (as submitted)</t>
        </is>
      </c>
      <c r="I4" s="7" t="inlineStr">
        <is>
          <t>Phylum (as submitted)</t>
        </is>
      </c>
      <c r="J4" s="7" t="inlineStr">
        <is>
          <t>Label changed</t>
        </is>
      </c>
      <c r="K4" s="7" t="inlineStr">
        <is>
          <t>Class</t>
        </is>
      </c>
      <c r="L4" s="7" t="inlineStr">
        <is>
          <t>Order</t>
        </is>
      </c>
      <c r="M4" s="7" t="inlineStr">
        <is>
          <t>Family</t>
        </is>
      </c>
      <c r="N4" s="7" t="inlineStr">
        <is>
          <t>Genus</t>
        </is>
      </c>
      <c r="O4" s="7" t="inlineStr">
        <is>
          <t>Species</t>
        </is>
      </c>
      <c r="P4" s="7" t="inlineStr">
        <is>
          <t>NCBI ID</t>
        </is>
      </c>
      <c r="Q4" s="7" t="inlineStr">
        <is>
          <t>KEGG ID</t>
        </is>
      </c>
      <c r="R4" s="7" t="inlineStr">
        <is>
          <t>Lipid Recovery %</t>
        </is>
      </c>
      <c r="S4" s="7" t="inlineStr">
        <is>
          <t>Media_DSMZ_or_type</t>
        </is>
      </c>
      <c r="T4" s="7" t="inlineStr">
        <is>
          <t>Temperature_C</t>
        </is>
      </c>
      <c r="U4" s="7" t="inlineStr">
        <is>
          <t>Oxygen_conditions</t>
        </is>
      </c>
      <c r="V4" s="7" t="inlineStr">
        <is>
          <t>pH</t>
        </is>
      </c>
      <c r="W4" s="7" t="inlineStr">
        <is>
          <t>Taxonomy release</t>
        </is>
      </c>
      <c r="X4" s="7" t="inlineStr">
        <is>
          <t>Row source</t>
        </is>
      </c>
      <c r="Y4" s="7" t="inlineStr">
        <is>
          <t>Count in summary</t>
        </is>
      </c>
    </row>
    <row r="5">
      <c r="A5" s="8" t="inlineStr">
        <is>
          <t>Rhodococcus_Sp_OE11-3-E4-A1POS.mzML</t>
        </is>
      </c>
      <c r="B5" s="8" t="inlineStr">
        <is>
          <t>OE11-3-E4-A1POS</t>
        </is>
      </c>
      <c r="C5" s="8" t="inlineStr">
        <is>
          <t>batch_01_OE11-3-POS</t>
        </is>
      </c>
      <c r="D5" s="8" t="inlineStr">
        <is>
          <t>Bacteria</t>
        </is>
      </c>
      <c r="E5" s="8" t="inlineStr">
        <is>
          <t>Actinomycetota</t>
        </is>
      </c>
      <c r="F5" s="8" t="n">
        <v>201174</v>
      </c>
      <c r="G5" s="8" t="inlineStr">
        <is>
          <t>core_candidate</t>
        </is>
      </c>
      <c r="H5" s="8" t="inlineStr">
        <is>
          <t>Bacteria</t>
        </is>
      </c>
      <c r="I5" s="8" t="inlineStr">
        <is>
          <t>Actinomycetota</t>
        </is>
      </c>
      <c r="J5" s="8" t="n"/>
      <c r="K5" s="8" t="inlineStr">
        <is>
          <t>Actinomycetia</t>
        </is>
      </c>
      <c r="L5" s="8" t="inlineStr">
        <is>
          <t>Mycobacteriales</t>
        </is>
      </c>
      <c r="M5" s="8" t="inlineStr">
        <is>
          <t>Nocardiaceae</t>
        </is>
      </c>
      <c r="N5" s="8" t="inlineStr">
        <is>
          <t>Rhodococcus</t>
        </is>
      </c>
      <c r="O5" s="8" t="inlineStr">
        <is>
          <t>unclassified</t>
        </is>
      </c>
      <c r="P5" s="8" t="n">
        <v>1827</v>
      </c>
      <c r="Q5" s="8" t="inlineStr">
        <is>
          <t>rqi</t>
        </is>
      </c>
      <c r="R5" s="8" t="n">
        <v>0</v>
      </c>
      <c r="S5" s="8" t="n"/>
      <c r="T5" s="8" t="n"/>
      <c r="U5" s="8" t="n"/>
      <c r="V5" s="8" t="n"/>
      <c r="W5" s="8" t="inlineStr">
        <is>
          <t>ncbi-phylum-2026-08-04-v1</t>
        </is>
      </c>
      <c r="X5" s="8" t="inlineStr">
        <is>
          <t>submitted table</t>
        </is>
      </c>
      <c r="Y5" s="8" t="inlineStr">
        <is>
          <t>yes</t>
        </is>
      </c>
    </row>
    <row r="6">
      <c r="A6" s="8" t="inlineStr">
        <is>
          <t>Haloferax_Volcanii_WR_340_OE11-3-E4-A4POS.mzML</t>
        </is>
      </c>
      <c r="B6" s="8" t="inlineStr">
        <is>
          <t>OE11-3-E4-A4POS</t>
        </is>
      </c>
      <c r="C6" s="8" t="inlineStr">
        <is>
          <t>batch_01_OE11-3-POS</t>
        </is>
      </c>
      <c r="D6" s="8" t="inlineStr">
        <is>
          <t>Archaea</t>
        </is>
      </c>
      <c r="E6" s="9" t="inlineStr">
        <is>
          <t>Methanobacteriota</t>
        </is>
      </c>
      <c r="F6" s="8" t="n">
        <v>28890</v>
      </c>
      <c r="G6" s="8" t="inlineStr">
        <is>
          <t>core_candidate</t>
        </is>
      </c>
      <c r="H6" s="8" t="inlineStr">
        <is>
          <t>Archaea</t>
        </is>
      </c>
      <c r="I6" s="8" t="inlineStr">
        <is>
          <t>Euryarchaeota</t>
        </is>
      </c>
      <c r="J6" s="8" t="inlineStr">
        <is>
          <t>yes</t>
        </is>
      </c>
      <c r="K6" s="8" t="inlineStr">
        <is>
          <t>Halobacteria</t>
        </is>
      </c>
      <c r="L6" s="8" t="inlineStr">
        <is>
          <t>Halobacteriales</t>
        </is>
      </c>
      <c r="M6" s="8" t="inlineStr">
        <is>
          <t>Halobacteriaceae</t>
        </is>
      </c>
      <c r="N6" s="8" t="inlineStr">
        <is>
          <t xml:space="preserve">Haloferax </t>
        </is>
      </c>
      <c r="O6" s="8" t="inlineStr">
        <is>
          <t>Haloferax volcanii</t>
        </is>
      </c>
      <c r="P6" s="8" t="n">
        <v>2246</v>
      </c>
      <c r="Q6" s="8" t="inlineStr">
        <is>
          <t>hvo</t>
        </is>
      </c>
      <c r="R6" s="8" t="n">
        <v>0</v>
      </c>
      <c r="S6" s="8" t="n"/>
      <c r="T6" s="8" t="n">
        <v>37</v>
      </c>
      <c r="U6" s="8" t="inlineStr">
        <is>
          <t>aerobic</t>
        </is>
      </c>
      <c r="V6" s="8" t="n">
        <v>7.2</v>
      </c>
      <c r="W6" s="8" t="inlineStr">
        <is>
          <t>ncbi-phylum-2026-08-04-v1</t>
        </is>
      </c>
      <c r="X6" s="8" t="inlineStr">
        <is>
          <t>submitted table</t>
        </is>
      </c>
      <c r="Y6" s="8" t="inlineStr">
        <is>
          <t>yes</t>
        </is>
      </c>
    </row>
    <row r="7">
      <c r="A7" s="8" t="inlineStr">
        <is>
          <t>Arthrobacter_Sp_102891_OE11-3-E4-B5POS.mzML</t>
        </is>
      </c>
      <c r="B7" s="8" t="inlineStr">
        <is>
          <t>OE11-3-E4-B5POS</t>
        </is>
      </c>
      <c r="C7" s="8" t="inlineStr">
        <is>
          <t>batch_01_OE11-3-POS</t>
        </is>
      </c>
      <c r="D7" s="8" t="inlineStr">
        <is>
          <t>Bacteria</t>
        </is>
      </c>
      <c r="E7" s="8" t="inlineStr">
        <is>
          <t>Actinomycetota</t>
        </is>
      </c>
      <c r="F7" s="8" t="n">
        <v>201174</v>
      </c>
      <c r="G7" s="8" t="inlineStr">
        <is>
          <t>core_candidate</t>
        </is>
      </c>
      <c r="H7" s="8" t="inlineStr">
        <is>
          <t>Bacteria</t>
        </is>
      </c>
      <c r="I7" s="8" t="inlineStr">
        <is>
          <t>Actinomycetota</t>
        </is>
      </c>
      <c r="J7" s="8" t="n"/>
      <c r="K7" s="8" t="inlineStr">
        <is>
          <t>Actinobacteridae</t>
        </is>
      </c>
      <c r="L7" s="8" t="inlineStr">
        <is>
          <t>Actinomycetales</t>
        </is>
      </c>
      <c r="M7" s="8" t="inlineStr">
        <is>
          <t>Micrococcaceae</t>
        </is>
      </c>
      <c r="N7" s="8" t="inlineStr">
        <is>
          <t>Arthrobacter</t>
        </is>
      </c>
      <c r="O7" s="8" t="inlineStr">
        <is>
          <t>unclassified</t>
        </is>
      </c>
      <c r="P7" s="8" t="n">
        <v>1663</v>
      </c>
      <c r="Q7" s="8" t="n"/>
      <c r="R7" s="8" t="n">
        <v>0</v>
      </c>
      <c r="S7" s="8" t="n"/>
      <c r="T7" s="8" t="n"/>
      <c r="U7" s="8" t="n"/>
      <c r="V7" s="8" t="n"/>
      <c r="W7" s="8" t="inlineStr">
        <is>
          <t>ncbi-phylum-2026-08-04-v1</t>
        </is>
      </c>
      <c r="X7" s="8" t="inlineStr">
        <is>
          <t>submitted table</t>
        </is>
      </c>
      <c r="Y7" s="8" t="inlineStr">
        <is>
          <t>yes</t>
        </is>
      </c>
    </row>
    <row r="8">
      <c r="A8" s="8" t="inlineStr">
        <is>
          <t>Rhizopus_Oligosporus_OE11-3-E4-F6POS.mzML</t>
        </is>
      </c>
      <c r="B8" s="8" t="inlineStr">
        <is>
          <t>OE11-3-E4-F6POS</t>
        </is>
      </c>
      <c r="C8" s="8" t="inlineStr">
        <is>
          <t>batch_01_OE11-3-POS</t>
        </is>
      </c>
      <c r="D8" s="8" t="inlineStr">
        <is>
          <t>Fungi</t>
        </is>
      </c>
      <c r="E8" s="8" t="inlineStr">
        <is>
          <t>Mucoromycota</t>
        </is>
      </c>
      <c r="F8" s="8" t="n">
        <v>1913637</v>
      </c>
      <c r="G8" s="8" t="inlineStr">
        <is>
          <t>core_candidate</t>
        </is>
      </c>
      <c r="H8" s="8" t="inlineStr">
        <is>
          <t>Fungi</t>
        </is>
      </c>
      <c r="I8" s="8" t="inlineStr">
        <is>
          <t>Mucoromycota</t>
        </is>
      </c>
      <c r="J8" s="8" t="n"/>
      <c r="K8" s="8" t="inlineStr">
        <is>
          <t>Mucoromycetes</t>
        </is>
      </c>
      <c r="L8" s="8" t="inlineStr">
        <is>
          <t>Mucorales</t>
        </is>
      </c>
      <c r="M8" s="8" t="inlineStr">
        <is>
          <t>Rhizopodaceae</t>
        </is>
      </c>
      <c r="N8" s="8" t="inlineStr">
        <is>
          <t>Rhizopus</t>
        </is>
      </c>
      <c r="O8" s="8" t="inlineStr">
        <is>
          <t>Rhizopus Oligosporus</t>
        </is>
      </c>
      <c r="P8" s="8" t="n">
        <v>4847</v>
      </c>
      <c r="Q8" s="8" t="n"/>
      <c r="R8" s="8" t="n">
        <v>0</v>
      </c>
      <c r="S8" s="8" t="inlineStr">
        <is>
          <t>N/A - fruiting body</t>
        </is>
      </c>
      <c r="T8" s="8" t="n"/>
      <c r="U8" s="8" t="n"/>
      <c r="V8" s="8" t="n"/>
      <c r="W8" s="8" t="inlineStr">
        <is>
          <t>ncbi-phylum-2026-08-04-v1</t>
        </is>
      </c>
      <c r="X8" s="8" t="inlineStr">
        <is>
          <t>submitted table</t>
        </is>
      </c>
      <c r="Y8" s="8" t="inlineStr">
        <is>
          <t>yes</t>
        </is>
      </c>
    </row>
    <row r="9">
      <c r="A9" s="8" t="inlineStr">
        <is>
          <t>Petroselinum_Crispum_(leaves)_OE11-3-E4-P18POS.mzML</t>
        </is>
      </c>
      <c r="B9" s="8" t="inlineStr">
        <is>
          <t>OE11-3-E4-P18POS</t>
        </is>
      </c>
      <c r="C9" s="8" t="inlineStr">
        <is>
          <t>batch_01_OE11-3-POS</t>
        </is>
      </c>
      <c r="D9" s="8" t="inlineStr">
        <is>
          <t>Viridiplantae</t>
        </is>
      </c>
      <c r="E9" s="9" t="inlineStr">
        <is>
          <t>Streptophyta</t>
        </is>
      </c>
      <c r="F9" s="8" t="n">
        <v>35493</v>
      </c>
      <c r="G9" s="8" t="inlineStr">
        <is>
          <t>core_candidate</t>
        </is>
      </c>
      <c r="H9" s="8" t="inlineStr">
        <is>
          <t>Plantae</t>
        </is>
      </c>
      <c r="I9" s="8" t="inlineStr">
        <is>
          <t>Trachaeophyta</t>
        </is>
      </c>
      <c r="J9" s="8" t="inlineStr">
        <is>
          <t>yes</t>
        </is>
      </c>
      <c r="K9" s="8" t="inlineStr">
        <is>
          <t>Magnoliopsida</t>
        </is>
      </c>
      <c r="L9" s="8" t="inlineStr">
        <is>
          <t>Apiales</t>
        </is>
      </c>
      <c r="M9" s="8" t="inlineStr">
        <is>
          <t>Apiaceae</t>
        </is>
      </c>
      <c r="N9" s="8" t="inlineStr">
        <is>
          <t>Petroelinum</t>
        </is>
      </c>
      <c r="O9" s="8" t="inlineStr">
        <is>
          <t>Petroselinum crispum (leaves)</t>
        </is>
      </c>
      <c r="P9" s="8" t="n">
        <v>4043</v>
      </c>
      <c r="Q9" s="8" t="n"/>
      <c r="R9" s="8" t="n">
        <v>0</v>
      </c>
      <c r="S9" s="8" t="inlineStr">
        <is>
          <t>N/A - field collected</t>
        </is>
      </c>
      <c r="T9" s="8" t="n"/>
      <c r="U9" s="8" t="n"/>
      <c r="V9" s="8" t="n"/>
      <c r="W9" s="8" t="inlineStr">
        <is>
          <t>ncbi-phylum-2026-08-04-v1</t>
        </is>
      </c>
      <c r="X9" s="8" t="inlineStr">
        <is>
          <t>submitted table</t>
        </is>
      </c>
      <c r="Y9" s="8" t="inlineStr">
        <is>
          <t>yes</t>
        </is>
      </c>
    </row>
    <row r="10">
      <c r="A10" s="8" t="inlineStr">
        <is>
          <t>Ginko_biloba_OE11-3-E4-P27POS.mzML</t>
        </is>
      </c>
      <c r="B10" s="8" t="inlineStr">
        <is>
          <t>27POS</t>
        </is>
      </c>
      <c r="C10" s="8" t="inlineStr">
        <is>
          <t>batch_01_OE11-3-POS</t>
        </is>
      </c>
      <c r="D10" s="8" t="n"/>
      <c r="E10" s="9" t="n"/>
      <c r="F10" s="8" t="n"/>
      <c r="G10" s="8" t="inlineStr">
        <is>
          <t>excluded</t>
        </is>
      </c>
      <c r="H10" s="8" t="inlineStr">
        <is>
          <t>Plantae</t>
        </is>
      </c>
      <c r="I10" s="8" t="inlineStr">
        <is>
          <t>Trachaeophyta</t>
        </is>
      </c>
      <c r="J10" s="8" t="inlineStr">
        <is>
          <t>yes</t>
        </is>
      </c>
      <c r="K10" s="8" t="inlineStr">
        <is>
          <t>Ginkgoopsida</t>
        </is>
      </c>
      <c r="L10" s="8" t="inlineStr">
        <is>
          <t>Ginkgoales</t>
        </is>
      </c>
      <c r="M10" s="8" t="inlineStr">
        <is>
          <t>Ginkgoaceae</t>
        </is>
      </c>
      <c r="N10" s="8" t="inlineStr">
        <is>
          <t>Ginkgo</t>
        </is>
      </c>
      <c r="O10" s="8" t="inlineStr">
        <is>
          <t>Ginkgo biloba</t>
        </is>
      </c>
      <c r="P10" s="8" t="n">
        <v>3311</v>
      </c>
      <c r="Q10" s="8" t="n"/>
      <c r="R10" s="8" t="n">
        <v>0</v>
      </c>
      <c r="S10" s="8" t="inlineStr">
        <is>
          <t>N/A - field collected</t>
        </is>
      </c>
      <c r="T10" s="8" t="n"/>
      <c r="U10" s="8" t="n"/>
      <c r="V10" s="8" t="n"/>
      <c r="W10" s="8" t="inlineStr">
        <is>
          <t>ncbi-phylum-2026-08-04-v1</t>
        </is>
      </c>
      <c r="X10" s="8" t="inlineStr">
        <is>
          <t>submitted table</t>
        </is>
      </c>
      <c r="Y10" s="8" t="inlineStr">
        <is>
          <t>no</t>
        </is>
      </c>
    </row>
    <row r="11">
      <c r="A11" s="8" t="inlineStr">
        <is>
          <t>Methanosarcina_Spelaei_OE11-E4-A7POS.mzML</t>
        </is>
      </c>
      <c r="B11" s="8" t="inlineStr">
        <is>
          <t>OE11-E4-A7POS</t>
        </is>
      </c>
      <c r="C11" s="8" t="inlineStr">
        <is>
          <t>batch_01_OE11-3-POS</t>
        </is>
      </c>
      <c r="D11" s="8" t="inlineStr">
        <is>
          <t>Archaea</t>
        </is>
      </c>
      <c r="E11" s="8" t="inlineStr">
        <is>
          <t>Methanobacteriota</t>
        </is>
      </c>
      <c r="F11" s="8" t="n">
        <v>28890</v>
      </c>
      <c r="G11" s="8" t="inlineStr">
        <is>
          <t>core_candidate</t>
        </is>
      </c>
      <c r="H11" s="8" t="inlineStr">
        <is>
          <t>Archaea</t>
        </is>
      </c>
      <c r="I11" s="8" t="inlineStr">
        <is>
          <t>Methanobacteriota</t>
        </is>
      </c>
      <c r="J11" s="8" t="n"/>
      <c r="K11" s="8" t="inlineStr">
        <is>
          <t>Methanomicrobia</t>
        </is>
      </c>
      <c r="L11" s="8" t="inlineStr">
        <is>
          <t>Methanosarcinales</t>
        </is>
      </c>
      <c r="M11" s="8" t="inlineStr">
        <is>
          <t>Methanosarcinaceae</t>
        </is>
      </c>
      <c r="N11" s="8" t="inlineStr">
        <is>
          <t>Methanosarcina</t>
        </is>
      </c>
      <c r="O11" s="8" t="inlineStr">
        <is>
          <t>Methanosarcina spelaei</t>
        </is>
      </c>
      <c r="P11" s="8" t="n">
        <v>1609969</v>
      </c>
      <c r="Q11" s="8" t="inlineStr">
        <is>
          <t>mma</t>
        </is>
      </c>
      <c r="R11" s="8" t="n">
        <v>0</v>
      </c>
      <c r="S11" s="8" t="inlineStr">
        <is>
          <t>120a</t>
        </is>
      </c>
      <c r="T11" s="8" t="n">
        <v>33</v>
      </c>
      <c r="U11" s="8" t="inlineStr">
        <is>
          <t>anaerobic</t>
        </is>
      </c>
      <c r="V11" s="8" t="n">
        <v>6.5</v>
      </c>
      <c r="W11" s="8" t="inlineStr">
        <is>
          <t>ncbi-phylum-2026-08-04-v1</t>
        </is>
      </c>
      <c r="X11" s="8" t="inlineStr">
        <is>
          <t>submitted table</t>
        </is>
      </c>
      <c r="Y11" s="8" t="inlineStr">
        <is>
          <t>yes</t>
        </is>
      </c>
    </row>
    <row r="12">
      <c r="A12" s="8" t="inlineStr">
        <is>
          <t>Methanopyrus_Kandleri_OE11-E4-B3POS.mzML</t>
        </is>
      </c>
      <c r="B12" s="8" t="inlineStr">
        <is>
          <t>OE11-E4-B3POS</t>
        </is>
      </c>
      <c r="C12" s="8" t="inlineStr">
        <is>
          <t>batch_01_OE11-3-POS</t>
        </is>
      </c>
      <c r="D12" s="8" t="inlineStr">
        <is>
          <t>Archaea</t>
        </is>
      </c>
      <c r="E12" s="9" t="inlineStr">
        <is>
          <t>Methanobacteriota</t>
        </is>
      </c>
      <c r="F12" s="8" t="n">
        <v>28890</v>
      </c>
      <c r="G12" s="8" t="inlineStr">
        <is>
          <t>core_candidate</t>
        </is>
      </c>
      <c r="H12" s="8" t="inlineStr">
        <is>
          <t>Archaea</t>
        </is>
      </c>
      <c r="I12" s="8" t="inlineStr">
        <is>
          <t>Euryarchaeota</t>
        </is>
      </c>
      <c r="J12" s="8" t="inlineStr">
        <is>
          <t>yes</t>
        </is>
      </c>
      <c r="K12" s="8" t="inlineStr">
        <is>
          <t>Methanopyri</t>
        </is>
      </c>
      <c r="L12" s="8" t="inlineStr">
        <is>
          <t>Methanopyrales</t>
        </is>
      </c>
      <c r="M12" s="8" t="inlineStr">
        <is>
          <t>Methanopyraceae</t>
        </is>
      </c>
      <c r="N12" s="8" t="inlineStr">
        <is>
          <t>Methanopyrus</t>
        </is>
      </c>
      <c r="O12" s="8" t="inlineStr">
        <is>
          <t>Methanopyrus kandleri</t>
        </is>
      </c>
      <c r="P12" s="8" t="n">
        <v>2320</v>
      </c>
      <c r="Q12" s="8" t="inlineStr">
        <is>
          <t>mka</t>
        </is>
      </c>
      <c r="R12" s="8" t="n">
        <v>0</v>
      </c>
      <c r="S12" s="8" t="inlineStr">
        <is>
          <t>511</t>
        </is>
      </c>
      <c r="T12" s="8" t="n">
        <v>98</v>
      </c>
      <c r="U12" s="8" t="inlineStr">
        <is>
          <t>anaerobic</t>
        </is>
      </c>
      <c r="V12" s="8" t="n"/>
      <c r="W12" s="8" t="inlineStr">
        <is>
          <t>ncbi-phylum-2026-08-04-v1</t>
        </is>
      </c>
      <c r="X12" s="8" t="inlineStr">
        <is>
          <t>submitted table</t>
        </is>
      </c>
      <c r="Y12" s="8" t="inlineStr">
        <is>
          <t>yes</t>
        </is>
      </c>
    </row>
    <row r="13">
      <c r="A13" s="8" t="inlineStr">
        <is>
          <t>Streptosporangium_Roseum_OE11-E4-B4POS.mzML</t>
        </is>
      </c>
      <c r="B13" s="8" t="inlineStr">
        <is>
          <t>OE11-E4-B4POS</t>
        </is>
      </c>
      <c r="C13" s="8" t="inlineStr">
        <is>
          <t>batch_01_OE11-3-POS</t>
        </is>
      </c>
      <c r="D13" s="8" t="inlineStr">
        <is>
          <t>Bacteria</t>
        </is>
      </c>
      <c r="E13" s="8" t="inlineStr">
        <is>
          <t>Actinomycetota</t>
        </is>
      </c>
      <c r="F13" s="8" t="n">
        <v>201174</v>
      </c>
      <c r="G13" s="8" t="inlineStr">
        <is>
          <t>core_candidate</t>
        </is>
      </c>
      <c r="H13" s="8" t="inlineStr">
        <is>
          <t>Bacteria</t>
        </is>
      </c>
      <c r="I13" s="8" t="inlineStr">
        <is>
          <t>Actinomycetota</t>
        </is>
      </c>
      <c r="J13" s="8" t="n"/>
      <c r="K13" s="8" t="inlineStr">
        <is>
          <t>Actinobacteridae</t>
        </is>
      </c>
      <c r="L13" s="8" t="inlineStr">
        <is>
          <t>Actinomycetales</t>
        </is>
      </c>
      <c r="M13" s="8" t="inlineStr">
        <is>
          <t>Streptosporangiaceae</t>
        </is>
      </c>
      <c r="N13" s="8" t="inlineStr">
        <is>
          <t>Streptosporangium</t>
        </is>
      </c>
      <c r="O13" s="8" t="inlineStr">
        <is>
          <t>Streptosporangium roseum</t>
        </is>
      </c>
      <c r="P13" s="8" t="n">
        <v>1928</v>
      </c>
      <c r="Q13" s="8" t="n"/>
      <c r="R13" s="8" t="n">
        <v>0</v>
      </c>
      <c r="S13" s="8" t="inlineStr">
        <is>
          <t>84</t>
        </is>
      </c>
      <c r="T13" s="8" t="n">
        <v>28</v>
      </c>
      <c r="U13" s="8" t="inlineStr">
        <is>
          <t>aerobic</t>
        </is>
      </c>
      <c r="V13" s="8" t="n">
        <v>7.2</v>
      </c>
      <c r="W13" s="8" t="inlineStr">
        <is>
          <t>ncbi-phylum-2026-08-04-v1</t>
        </is>
      </c>
      <c r="X13" s="8" t="inlineStr">
        <is>
          <t>submitted table</t>
        </is>
      </c>
      <c r="Y13" s="8" t="inlineStr">
        <is>
          <t>yes</t>
        </is>
      </c>
    </row>
    <row r="14">
      <c r="A14" s="8" t="inlineStr">
        <is>
          <t>Amanita_Caesarea_OE11-E4-F15POS.mzML</t>
        </is>
      </c>
      <c r="B14" s="8" t="inlineStr">
        <is>
          <t>OE11-E4-F15POS</t>
        </is>
      </c>
      <c r="C14" s="8" t="inlineStr">
        <is>
          <t>batch_01_OE11-3-POS</t>
        </is>
      </c>
      <c r="D14" s="8" t="inlineStr">
        <is>
          <t>Fungi</t>
        </is>
      </c>
      <c r="E14" s="8" t="inlineStr">
        <is>
          <t>Basidiomycota</t>
        </is>
      </c>
      <c r="F14" s="8" t="n">
        <v>5204</v>
      </c>
      <c r="G14" s="8" t="inlineStr">
        <is>
          <t>core_candidate</t>
        </is>
      </c>
      <c r="H14" s="8" t="inlineStr">
        <is>
          <t>Fungi</t>
        </is>
      </c>
      <c r="I14" s="8" t="inlineStr">
        <is>
          <t>Basidiomycota</t>
        </is>
      </c>
      <c r="J14" s="8" t="n"/>
      <c r="K14" s="8" t="inlineStr">
        <is>
          <t>Agaricomycetes</t>
        </is>
      </c>
      <c r="L14" s="8" t="inlineStr">
        <is>
          <t>Agaricales</t>
        </is>
      </c>
      <c r="M14" s="8" t="inlineStr">
        <is>
          <t>Amanitaceae</t>
        </is>
      </c>
      <c r="N14" s="8" t="inlineStr">
        <is>
          <t>Amanita</t>
        </is>
      </c>
      <c r="O14" s="8" t="inlineStr">
        <is>
          <t>Amanita caserea</t>
        </is>
      </c>
      <c r="P14" s="8" t="n">
        <v>67695</v>
      </c>
      <c r="Q14" s="8" t="n"/>
      <c r="R14" s="8" t="n">
        <v>0</v>
      </c>
      <c r="S14" s="8" t="inlineStr">
        <is>
          <t>N/A - fruiting body</t>
        </is>
      </c>
      <c r="T14" s="8" t="n"/>
      <c r="U14" s="8" t="n"/>
      <c r="V14" s="8" t="n"/>
      <c r="W14" s="8" t="inlineStr">
        <is>
          <t>ncbi-phylum-2026-08-04-v1</t>
        </is>
      </c>
      <c r="X14" s="8" t="inlineStr">
        <is>
          <t>submitted table</t>
        </is>
      </c>
      <c r="Y14" s="8" t="inlineStr">
        <is>
          <t>yes</t>
        </is>
      </c>
    </row>
    <row r="15">
      <c r="A15" s="8" t="inlineStr">
        <is>
          <t>Trichoderma_Flavofuscum_OE11-E4-F2POS.mzML</t>
        </is>
      </c>
      <c r="B15" s="8" t="inlineStr">
        <is>
          <t>OE11-E4-F2POS</t>
        </is>
      </c>
      <c r="C15" s="8" t="inlineStr">
        <is>
          <t>batch_01_OE11-3-POS</t>
        </is>
      </c>
      <c r="D15" s="8" t="inlineStr">
        <is>
          <t>Fungi</t>
        </is>
      </c>
      <c r="E15" s="8" t="inlineStr">
        <is>
          <t>Ascomycota</t>
        </is>
      </c>
      <c r="F15" s="8" t="n">
        <v>4890</v>
      </c>
      <c r="G15" s="8" t="inlineStr">
        <is>
          <t>core_candidate</t>
        </is>
      </c>
      <c r="H15" s="8" t="inlineStr">
        <is>
          <t>Fungi</t>
        </is>
      </c>
      <c r="I15" s="8" t="inlineStr">
        <is>
          <t>Ascomycota</t>
        </is>
      </c>
      <c r="J15" s="8" t="n"/>
      <c r="K15" s="8" t="inlineStr">
        <is>
          <t>Sordariomycetes</t>
        </is>
      </c>
      <c r="L15" s="8" t="inlineStr">
        <is>
          <t>Hypocreales</t>
        </is>
      </c>
      <c r="M15" s="8" t="inlineStr">
        <is>
          <t>Hypocreaceae</t>
        </is>
      </c>
      <c r="N15" s="8" t="inlineStr">
        <is>
          <t>Gliocladium</t>
        </is>
      </c>
      <c r="O15" s="8" t="inlineStr">
        <is>
          <t>Gliocladium flavofuscum</t>
        </is>
      </c>
      <c r="P15" s="8" t="n">
        <v>29875</v>
      </c>
      <c r="Q15" s="8" t="inlineStr">
        <is>
          <t>tre</t>
        </is>
      </c>
      <c r="R15" s="8" t="n">
        <v>0</v>
      </c>
      <c r="S15" s="8" t="n"/>
      <c r="T15" s="8" t="n"/>
      <c r="U15" s="8" t="n"/>
      <c r="V15" s="8" t="n"/>
      <c r="W15" s="8" t="inlineStr">
        <is>
          <t>ncbi-phylum-2026-08-04-v1</t>
        </is>
      </c>
      <c r="X15" s="8" t="inlineStr">
        <is>
          <t>submitted table</t>
        </is>
      </c>
      <c r="Y15" s="8" t="inlineStr">
        <is>
          <t>yes</t>
        </is>
      </c>
    </row>
    <row r="16">
      <c r="A16" s="8" t="inlineStr">
        <is>
          <t>Mucor_Hiemalis_INF1507_17_OE11-E4-F47POS.mzML</t>
        </is>
      </c>
      <c r="B16" s="8" t="inlineStr">
        <is>
          <t>OE11-E4-F47POS</t>
        </is>
      </c>
      <c r="C16" s="8" t="inlineStr">
        <is>
          <t>batch_01_OE11-3-POS</t>
        </is>
      </c>
      <c r="D16" s="8" t="inlineStr">
        <is>
          <t>Fungi</t>
        </is>
      </c>
      <c r="E16" s="8" t="inlineStr">
        <is>
          <t>Mucoromycota</t>
        </is>
      </c>
      <c r="F16" s="8" t="n">
        <v>1913637</v>
      </c>
      <c r="G16" s="8" t="inlineStr">
        <is>
          <t>core_candidate</t>
        </is>
      </c>
      <c r="H16" s="8" t="inlineStr">
        <is>
          <t>Fungi</t>
        </is>
      </c>
      <c r="I16" s="8" t="inlineStr">
        <is>
          <t>Mucoromycota</t>
        </is>
      </c>
      <c r="J16" s="8" t="n"/>
      <c r="K16" s="8" t="inlineStr">
        <is>
          <t>Mucoromycetes</t>
        </is>
      </c>
      <c r="L16" s="8" t="inlineStr">
        <is>
          <t>Mucorales</t>
        </is>
      </c>
      <c r="M16" s="8" t="inlineStr">
        <is>
          <t>Mucoraceae</t>
        </is>
      </c>
      <c r="N16" s="8" t="inlineStr">
        <is>
          <t>Mucor</t>
        </is>
      </c>
      <c r="O16" s="8" t="inlineStr">
        <is>
          <t>Mucor hiemalis</t>
        </is>
      </c>
      <c r="P16" s="8" t="n">
        <v>64493</v>
      </c>
      <c r="Q16" s="8" t="n"/>
      <c r="R16" s="8" t="n">
        <v>0</v>
      </c>
      <c r="S16" s="8" t="inlineStr">
        <is>
          <t>MEB</t>
        </is>
      </c>
      <c r="T16" s="8" t="n">
        <v>22</v>
      </c>
      <c r="U16" s="8" t="inlineStr">
        <is>
          <t>aerobic</t>
        </is>
      </c>
      <c r="V16" s="8" t="n">
        <v>5.6</v>
      </c>
      <c r="W16" s="8" t="inlineStr">
        <is>
          <t>ncbi-phylum-2026-08-04-v1</t>
        </is>
      </c>
      <c r="X16" s="8" t="inlineStr">
        <is>
          <t>submitted table</t>
        </is>
      </c>
      <c r="Y16" s="8" t="inlineStr">
        <is>
          <t>yes</t>
        </is>
      </c>
    </row>
    <row r="17">
      <c r="A17" s="8" t="inlineStr">
        <is>
          <t>Equisetum_Arvense_OE11-E4-P11POS.mzML</t>
        </is>
      </c>
      <c r="B17" s="8" t="inlineStr">
        <is>
          <t>OE11-E4-P11POS</t>
        </is>
      </c>
      <c r="C17" s="8" t="inlineStr">
        <is>
          <t>batch_01_OE11-3-POS</t>
        </is>
      </c>
      <c r="D17" s="8" t="inlineStr">
        <is>
          <t>Viridiplantae</t>
        </is>
      </c>
      <c r="E17" s="9" t="inlineStr">
        <is>
          <t>Streptophyta</t>
        </is>
      </c>
      <c r="F17" s="8" t="n">
        <v>35493</v>
      </c>
      <c r="G17" s="8" t="inlineStr">
        <is>
          <t>core_candidate</t>
        </is>
      </c>
      <c r="H17" s="8" t="inlineStr">
        <is>
          <t>Plantae</t>
        </is>
      </c>
      <c r="I17" s="8" t="inlineStr">
        <is>
          <t>Trachaeophyta</t>
        </is>
      </c>
      <c r="J17" s="8" t="inlineStr">
        <is>
          <t>yes</t>
        </is>
      </c>
      <c r="K17" s="8" t="inlineStr">
        <is>
          <t>Polypodiopsida</t>
        </is>
      </c>
      <c r="L17" s="8" t="inlineStr">
        <is>
          <t>Equisetales</t>
        </is>
      </c>
      <c r="M17" s="8" t="inlineStr">
        <is>
          <t>Equisetaceae</t>
        </is>
      </c>
      <c r="N17" s="8" t="inlineStr">
        <is>
          <t>Equisetum</t>
        </is>
      </c>
      <c r="O17" s="8" t="inlineStr">
        <is>
          <t>Equisetum arvense</t>
        </is>
      </c>
      <c r="P17" s="8" t="n">
        <v>3258</v>
      </c>
      <c r="Q17" s="8" t="n"/>
      <c r="R17" s="8" t="n">
        <v>0</v>
      </c>
      <c r="S17" s="8" t="inlineStr">
        <is>
          <t>N/A - field collected</t>
        </is>
      </c>
      <c r="T17" s="8" t="n"/>
      <c r="U17" s="8" t="n"/>
      <c r="V17" s="8" t="n"/>
      <c r="W17" s="8" t="inlineStr">
        <is>
          <t>ncbi-phylum-2026-08-04-v1</t>
        </is>
      </c>
      <c r="X17" s="8" t="inlineStr">
        <is>
          <t>submitted table</t>
        </is>
      </c>
      <c r="Y17" s="8" t="inlineStr">
        <is>
          <t>yes</t>
        </is>
      </c>
    </row>
    <row r="18">
      <c r="A18" s="8" t="inlineStr">
        <is>
          <t>Allium_Ursinum_OE11-E4-P14POS.mzML</t>
        </is>
      </c>
      <c r="B18" s="8" t="inlineStr">
        <is>
          <t>OE11-E4-P14POS</t>
        </is>
      </c>
      <c r="C18" s="8" t="inlineStr">
        <is>
          <t>batch_01_OE11-3-POS</t>
        </is>
      </c>
      <c r="D18" s="8" t="inlineStr">
        <is>
          <t>Viridiplantae</t>
        </is>
      </c>
      <c r="E18" s="9" t="inlineStr">
        <is>
          <t>Streptophyta</t>
        </is>
      </c>
      <c r="F18" s="8" t="n">
        <v>35493</v>
      </c>
      <c r="G18" s="8" t="inlineStr">
        <is>
          <t>core_candidate</t>
        </is>
      </c>
      <c r="H18" s="8" t="inlineStr">
        <is>
          <t>Plantae</t>
        </is>
      </c>
      <c r="I18" s="8" t="inlineStr">
        <is>
          <t>Trachaeophyta</t>
        </is>
      </c>
      <c r="J18" s="8" t="inlineStr">
        <is>
          <t>yes</t>
        </is>
      </c>
      <c r="K18" s="8" t="inlineStr">
        <is>
          <t>Liliopsida</t>
        </is>
      </c>
      <c r="L18" s="8" t="inlineStr">
        <is>
          <t>Asparagales</t>
        </is>
      </c>
      <c r="M18" s="8" t="inlineStr">
        <is>
          <t>Amaryllidaceae</t>
        </is>
      </c>
      <c r="N18" s="8" t="inlineStr">
        <is>
          <t>Allium</t>
        </is>
      </c>
      <c r="O18" s="8" t="inlineStr">
        <is>
          <t>Allium ursinum</t>
        </is>
      </c>
      <c r="P18" s="8" t="n">
        <v>4684</v>
      </c>
      <c r="Q18" s="8" t="n"/>
      <c r="R18" s="8" t="n">
        <v>0</v>
      </c>
      <c r="S18" s="8" t="inlineStr">
        <is>
          <t>N/A - field collected</t>
        </is>
      </c>
      <c r="T18" s="8" t="n"/>
      <c r="U18" s="8" t="n"/>
      <c r="V18" s="8" t="n"/>
      <c r="W18" s="8" t="inlineStr">
        <is>
          <t>ncbi-phylum-2026-08-04-v1</t>
        </is>
      </c>
      <c r="X18" s="8" t="inlineStr">
        <is>
          <t>submitted table</t>
        </is>
      </c>
      <c r="Y18" s="8" t="inlineStr">
        <is>
          <t>yes</t>
        </is>
      </c>
    </row>
    <row r="19">
      <c r="A19" s="8" t="inlineStr">
        <is>
          <t>Taraxacum_officinale (roots)_OE11-E4-P26POS.mzML</t>
        </is>
      </c>
      <c r="B19" s="8" t="inlineStr">
        <is>
          <t>OE11-E4-P26POS</t>
        </is>
      </c>
      <c r="C19" s="8" t="inlineStr">
        <is>
          <t>batch_01_OE11-3-POS</t>
        </is>
      </c>
      <c r="D19" s="8" t="inlineStr">
        <is>
          <t>Viridiplantae</t>
        </is>
      </c>
      <c r="E19" s="9" t="inlineStr">
        <is>
          <t>Streptophyta</t>
        </is>
      </c>
      <c r="F19" s="8" t="n">
        <v>35493</v>
      </c>
      <c r="G19" s="8" t="inlineStr">
        <is>
          <t>core_candidate</t>
        </is>
      </c>
      <c r="H19" s="8" t="inlineStr">
        <is>
          <t>Plantae</t>
        </is>
      </c>
      <c r="I19" s="8" t="inlineStr">
        <is>
          <t>Trachaeophyta</t>
        </is>
      </c>
      <c r="J19" s="8" t="inlineStr">
        <is>
          <t>yes</t>
        </is>
      </c>
      <c r="K19" s="8" t="inlineStr">
        <is>
          <t>Magnoliopsida</t>
        </is>
      </c>
      <c r="L19" s="8" t="inlineStr">
        <is>
          <t>Asterales</t>
        </is>
      </c>
      <c r="M19" s="8" t="inlineStr">
        <is>
          <t>Asteraceae</t>
        </is>
      </c>
      <c r="N19" s="8" t="inlineStr">
        <is>
          <t>Taraxcum</t>
        </is>
      </c>
      <c r="O19" s="8" t="inlineStr">
        <is>
          <t>Taraxacum officinale (roots)</t>
        </is>
      </c>
      <c r="P19" s="8" t="n">
        <v>50225</v>
      </c>
      <c r="Q19" s="8" t="n"/>
      <c r="R19" s="8" t="n">
        <v>0</v>
      </c>
      <c r="S19" s="8" t="inlineStr">
        <is>
          <t>N/A - field collected</t>
        </is>
      </c>
      <c r="T19" s="8" t="n"/>
      <c r="U19" s="8" t="n"/>
      <c r="V19" s="8" t="n"/>
      <c r="W19" s="8" t="inlineStr">
        <is>
          <t>ncbi-phylum-2026-08-04-v1</t>
        </is>
      </c>
      <c r="X19" s="8" t="inlineStr">
        <is>
          <t>submitted table</t>
        </is>
      </c>
      <c r="Y19" s="8" t="inlineStr">
        <is>
          <t>yes</t>
        </is>
      </c>
    </row>
    <row r="20">
      <c r="A20" s="8" t="inlineStr">
        <is>
          <t>Priestia_Aryabhattai_B8W22_OE21-4-11POS.mzML</t>
        </is>
      </c>
      <c r="B20" s="8" t="inlineStr">
        <is>
          <t>OE21-4-11POS</t>
        </is>
      </c>
      <c r="C20" s="8" t="inlineStr">
        <is>
          <t>batch_02_OE21-4-POS</t>
        </is>
      </c>
      <c r="D20" s="8" t="inlineStr">
        <is>
          <t>Bacteria</t>
        </is>
      </c>
      <c r="E20" s="8" t="inlineStr">
        <is>
          <t>Bacillota</t>
        </is>
      </c>
      <c r="F20" s="8" t="n">
        <v>1239</v>
      </c>
      <c r="G20" s="8" t="inlineStr">
        <is>
          <t>core_candidate</t>
        </is>
      </c>
      <c r="H20" s="8" t="inlineStr">
        <is>
          <t>Bacteria</t>
        </is>
      </c>
      <c r="I20" s="8" t="inlineStr">
        <is>
          <t>Bacillota</t>
        </is>
      </c>
      <c r="J20" s="8" t="n"/>
      <c r="K20" s="8" t="inlineStr">
        <is>
          <t>Bacilli</t>
        </is>
      </c>
      <c r="L20" s="8" t="inlineStr">
        <is>
          <t>Caryophanales</t>
        </is>
      </c>
      <c r="M20" s="8" t="inlineStr">
        <is>
          <t>Bacillaceae</t>
        </is>
      </c>
      <c r="N20" s="8" t="inlineStr">
        <is>
          <t>Priestia</t>
        </is>
      </c>
      <c r="O20" s="8" t="inlineStr">
        <is>
          <t>Priestia aryabhattai</t>
        </is>
      </c>
      <c r="P20" s="8" t="n">
        <v>412384</v>
      </c>
      <c r="Q20" s="8" t="inlineStr">
        <is>
          <t>bsu</t>
        </is>
      </c>
      <c r="R20" s="8" t="n">
        <v>0</v>
      </c>
      <c r="S20" s="8" t="n"/>
      <c r="T20" s="8" t="n"/>
      <c r="U20" s="8" t="n"/>
      <c r="V20" s="8" t="n"/>
      <c r="W20" s="8" t="inlineStr">
        <is>
          <t>ncbi-phylum-2026-08-04-v1</t>
        </is>
      </c>
      <c r="X20" s="8" t="inlineStr">
        <is>
          <t>submitted table</t>
        </is>
      </c>
      <c r="Y20" s="8" t="inlineStr">
        <is>
          <t>yes</t>
        </is>
      </c>
    </row>
    <row r="21">
      <c r="A21" s="8" t="inlineStr">
        <is>
          <t>Exiguobacterium_Aestuarii_OE21-4-19POS.mzML</t>
        </is>
      </c>
      <c r="B21" s="8" t="inlineStr">
        <is>
          <t>OE21-4-19POS</t>
        </is>
      </c>
      <c r="C21" s="8" t="inlineStr">
        <is>
          <t>batch_02_OE21-4-POS</t>
        </is>
      </c>
      <c r="D21" s="8" t="inlineStr">
        <is>
          <t>Bacteria</t>
        </is>
      </c>
      <c r="E21" s="8" t="inlineStr">
        <is>
          <t>Bacillota</t>
        </is>
      </c>
      <c r="F21" s="8" t="n">
        <v>1239</v>
      </c>
      <c r="G21" s="8" t="inlineStr">
        <is>
          <t>core_candidate</t>
        </is>
      </c>
      <c r="H21" s="8" t="inlineStr">
        <is>
          <t>Bacteria</t>
        </is>
      </c>
      <c r="I21" s="8" t="inlineStr">
        <is>
          <t>Bacillota</t>
        </is>
      </c>
      <c r="J21" s="8" t="n"/>
      <c r="K21" s="8" t="inlineStr">
        <is>
          <t>Bacilli</t>
        </is>
      </c>
      <c r="L21" s="8" t="inlineStr">
        <is>
          <t>Bacillales</t>
        </is>
      </c>
      <c r="M21" s="8" t="inlineStr">
        <is>
          <t>Bacillaceae</t>
        </is>
      </c>
      <c r="N21" s="8" t="inlineStr">
        <is>
          <t xml:space="preserve">Exiguobacterium </t>
        </is>
      </c>
      <c r="O21" s="8" t="inlineStr">
        <is>
          <t>Exiguobacterium aestuarii</t>
        </is>
      </c>
      <c r="P21" s="8" t="n">
        <v>273527</v>
      </c>
      <c r="Q21" s="8" t="inlineStr">
        <is>
          <t>esi</t>
        </is>
      </c>
      <c r="R21" s="8" t="n">
        <v>0</v>
      </c>
      <c r="S21" s="8" t="n"/>
      <c r="T21" s="8" t="n"/>
      <c r="U21" s="8" t="n"/>
      <c r="V21" s="8" t="n"/>
      <c r="W21" s="8" t="inlineStr">
        <is>
          <t>ncbi-phylum-2026-08-04-v1</t>
        </is>
      </c>
      <c r="X21" s="8" t="inlineStr">
        <is>
          <t>submitted table</t>
        </is>
      </c>
      <c r="Y21" s="8" t="inlineStr">
        <is>
          <t>yes</t>
        </is>
      </c>
    </row>
    <row r="22">
      <c r="A22" s="8" t="inlineStr">
        <is>
          <t>Bacillus_Proteolyticus_OE21-4-28POS.mzML</t>
        </is>
      </c>
      <c r="B22" s="8" t="inlineStr">
        <is>
          <t>OE21-4-28POS</t>
        </is>
      </c>
      <c r="C22" s="8" t="inlineStr">
        <is>
          <t>batch_02_OE21-4-POS</t>
        </is>
      </c>
      <c r="D22" s="8" t="inlineStr">
        <is>
          <t>Bacteria</t>
        </is>
      </c>
      <c r="E22" s="8" t="inlineStr">
        <is>
          <t>Bacillota</t>
        </is>
      </c>
      <c r="F22" s="8" t="n">
        <v>1239</v>
      </c>
      <c r="G22" s="8" t="inlineStr">
        <is>
          <t>core_candidate</t>
        </is>
      </c>
      <c r="H22" s="8" t="inlineStr">
        <is>
          <t>Bacteria</t>
        </is>
      </c>
      <c r="I22" s="8" t="inlineStr">
        <is>
          <t>Bacillota</t>
        </is>
      </c>
      <c r="J22" s="8" t="n"/>
      <c r="K22" s="8" t="inlineStr">
        <is>
          <t>Bacilli</t>
        </is>
      </c>
      <c r="L22" s="8" t="inlineStr">
        <is>
          <t>Caryophanales</t>
        </is>
      </c>
      <c r="M22" s="8" t="inlineStr">
        <is>
          <t>Bacillaceae</t>
        </is>
      </c>
      <c r="N22" s="8" t="inlineStr">
        <is>
          <t>Bacillus</t>
        </is>
      </c>
      <c r="O22" s="8" t="inlineStr">
        <is>
          <t>Bacillus proteolyticus</t>
        </is>
      </c>
      <c r="P22" s="8" t="n">
        <v>2026192</v>
      </c>
      <c r="Q22" s="8" t="inlineStr">
        <is>
          <t>bsu</t>
        </is>
      </c>
      <c r="R22" s="8" t="n">
        <v>0</v>
      </c>
      <c r="S22" s="8" t="n"/>
      <c r="T22" s="8" t="n"/>
      <c r="U22" s="8" t="n"/>
      <c r="V22" s="8" t="n"/>
      <c r="W22" s="8" t="inlineStr">
        <is>
          <t>ncbi-phylum-2026-08-04-v1</t>
        </is>
      </c>
      <c r="X22" s="8" t="inlineStr">
        <is>
          <t>submitted table</t>
        </is>
      </c>
      <c r="Y22" s="8" t="inlineStr">
        <is>
          <t>yes</t>
        </is>
      </c>
    </row>
    <row r="23">
      <c r="A23" s="8" t="inlineStr">
        <is>
          <t>Paribacillus_Frigoritolerans_OE21-4-31POS.mzML</t>
        </is>
      </c>
      <c r="B23" s="8" t="inlineStr">
        <is>
          <t>OE21-4-31POS</t>
        </is>
      </c>
      <c r="C23" s="8" t="inlineStr">
        <is>
          <t>batch_02_OE21-4-POS</t>
        </is>
      </c>
      <c r="D23" s="8" t="inlineStr">
        <is>
          <t>Bacteria</t>
        </is>
      </c>
      <c r="E23" s="8" t="inlineStr">
        <is>
          <t>Bacillota</t>
        </is>
      </c>
      <c r="F23" s="8" t="n">
        <v>1239</v>
      </c>
      <c r="G23" s="8" t="inlineStr">
        <is>
          <t>core_candidate</t>
        </is>
      </c>
      <c r="H23" s="8" t="inlineStr">
        <is>
          <t>Bacteria</t>
        </is>
      </c>
      <c r="I23" s="8" t="inlineStr">
        <is>
          <t>Bacillota</t>
        </is>
      </c>
      <c r="J23" s="8" t="n"/>
      <c r="K23" s="8" t="inlineStr">
        <is>
          <t>Bacilli</t>
        </is>
      </c>
      <c r="L23" s="8" t="inlineStr">
        <is>
          <t>Caryophanales</t>
        </is>
      </c>
      <c r="M23" s="8" t="inlineStr">
        <is>
          <t>Bacillaceae</t>
        </is>
      </c>
      <c r="N23" s="8" t="inlineStr">
        <is>
          <t>Peribacillus</t>
        </is>
      </c>
      <c r="O23" s="8" t="inlineStr">
        <is>
          <t>Peribacillus frigoritolerans</t>
        </is>
      </c>
      <c r="P23" s="8" t="n">
        <v>450367</v>
      </c>
      <c r="Q23" s="8" t="n"/>
      <c r="R23" s="8" t="n">
        <v>0</v>
      </c>
      <c r="S23" s="8" t="n"/>
      <c r="T23" s="8" t="n"/>
      <c r="U23" s="8" t="n"/>
      <c r="V23" s="8" t="n"/>
      <c r="W23" s="8" t="inlineStr">
        <is>
          <t>ncbi-phylum-2026-08-04-v1</t>
        </is>
      </c>
      <c r="X23" s="8" t="inlineStr">
        <is>
          <t>submitted table</t>
        </is>
      </c>
      <c r="Y23" s="8" t="inlineStr">
        <is>
          <t>yes</t>
        </is>
      </c>
    </row>
    <row r="24">
      <c r="A24" s="8" t="inlineStr">
        <is>
          <t>Priestia_Megaterium_OE21-4-34POS.mzML</t>
        </is>
      </c>
      <c r="B24" s="8" t="inlineStr">
        <is>
          <t>OE21-4-34POS</t>
        </is>
      </c>
      <c r="C24" s="8" t="inlineStr">
        <is>
          <t>batch_02_OE21-4-POS</t>
        </is>
      </c>
      <c r="D24" s="8" t="inlineStr">
        <is>
          <t>Bacteria</t>
        </is>
      </c>
      <c r="E24" s="8" t="inlineStr">
        <is>
          <t>Bacillota</t>
        </is>
      </c>
      <c r="F24" s="8" t="n">
        <v>1239</v>
      </c>
      <c r="G24" s="8" t="inlineStr">
        <is>
          <t>core_candidate</t>
        </is>
      </c>
      <c r="H24" s="8" t="inlineStr">
        <is>
          <t>Bacteria</t>
        </is>
      </c>
      <c r="I24" s="8" t="inlineStr">
        <is>
          <t>Bacillota</t>
        </is>
      </c>
      <c r="J24" s="8" t="n"/>
      <c r="K24" s="8" t="inlineStr">
        <is>
          <t>Bacilli</t>
        </is>
      </c>
      <c r="L24" s="8" t="inlineStr">
        <is>
          <t>Caryophanales</t>
        </is>
      </c>
      <c r="M24" s="8" t="inlineStr">
        <is>
          <t>Bacillaceae</t>
        </is>
      </c>
      <c r="N24" s="8" t="inlineStr">
        <is>
          <t>Priestia</t>
        </is>
      </c>
      <c r="O24" s="8" t="inlineStr">
        <is>
          <t>Priestia megaterium</t>
        </is>
      </c>
      <c r="P24" s="8" t="n">
        <v>1404</v>
      </c>
      <c r="Q24" s="8" t="inlineStr">
        <is>
          <t>bsu</t>
        </is>
      </c>
      <c r="R24" s="8" t="n">
        <v>0</v>
      </c>
      <c r="S24" s="8" t="n"/>
      <c r="T24" s="8" t="n"/>
      <c r="U24" s="8" t="n"/>
      <c r="V24" s="8" t="n"/>
      <c r="W24" s="8" t="inlineStr">
        <is>
          <t>ncbi-phylum-2026-08-04-v1</t>
        </is>
      </c>
      <c r="X24" s="8" t="inlineStr">
        <is>
          <t>submitted table</t>
        </is>
      </c>
      <c r="Y24" s="8" t="inlineStr">
        <is>
          <t>yes</t>
        </is>
      </c>
    </row>
    <row r="25">
      <c r="A25" s="8" t="inlineStr">
        <is>
          <t>Methanocaldococcus_Jannaschii_OE21-4-A10POS.mzML</t>
        </is>
      </c>
      <c r="B25" s="8" t="inlineStr">
        <is>
          <t>OE21-4-A10POS</t>
        </is>
      </c>
      <c r="C25" s="8" t="inlineStr">
        <is>
          <t>batch_02_OE21-4-POS</t>
        </is>
      </c>
      <c r="D25" s="8" t="inlineStr">
        <is>
          <t>Archaea</t>
        </is>
      </c>
      <c r="E25" s="9" t="inlineStr">
        <is>
          <t>Methanobacteriota</t>
        </is>
      </c>
      <c r="F25" s="8" t="n">
        <v>28890</v>
      </c>
      <c r="G25" s="8" t="inlineStr">
        <is>
          <t>core_candidate</t>
        </is>
      </c>
      <c r="H25" s="8" t="inlineStr">
        <is>
          <t>Archaea</t>
        </is>
      </c>
      <c r="I25" s="8" t="inlineStr">
        <is>
          <t>Euryarchaeota</t>
        </is>
      </c>
      <c r="J25" s="8" t="inlineStr">
        <is>
          <t>yes</t>
        </is>
      </c>
      <c r="K25" s="8" t="inlineStr">
        <is>
          <t>Methanococci</t>
        </is>
      </c>
      <c r="L25" s="8" t="inlineStr">
        <is>
          <t>Methanococcales</t>
        </is>
      </c>
      <c r="M25" s="8" t="inlineStr">
        <is>
          <t>Methanocaldococcaceae</t>
        </is>
      </c>
      <c r="N25" s="8" t="inlineStr">
        <is>
          <t>Methanocaldococcus</t>
        </is>
      </c>
      <c r="O25" s="8" t="inlineStr">
        <is>
          <t>Methanocaldococcus jannaschii</t>
        </is>
      </c>
      <c r="P25" s="8" t="n">
        <v>2190</v>
      </c>
      <c r="Q25" s="8" t="inlineStr">
        <is>
          <t>mja</t>
        </is>
      </c>
      <c r="R25" s="8" t="n">
        <v>5033</v>
      </c>
      <c r="S25" s="8" t="inlineStr">
        <is>
          <t>282</t>
        </is>
      </c>
      <c r="T25" s="8" t="n">
        <v>80</v>
      </c>
      <c r="U25" s="8" t="inlineStr">
        <is>
          <t>anaerobic</t>
        </is>
      </c>
      <c r="V25" s="8" t="n"/>
      <c r="W25" s="8" t="inlineStr">
        <is>
          <t>ncbi-phylum-2026-08-04-v1</t>
        </is>
      </c>
      <c r="X25" s="8" t="inlineStr">
        <is>
          <t>submitted table</t>
        </is>
      </c>
      <c r="Y25" s="8" t="inlineStr">
        <is>
          <t>yes</t>
        </is>
      </c>
    </row>
    <row r="26">
      <c r="A26" s="8" t="inlineStr">
        <is>
          <t>Methanospirillum_Stamsii_OE21-4-A12POS.mzML</t>
        </is>
      </c>
      <c r="B26" s="8" t="inlineStr">
        <is>
          <t>OE21-4-A12POS</t>
        </is>
      </c>
      <c r="C26" s="8" t="inlineStr">
        <is>
          <t>batch_02_OE21-4-POS</t>
        </is>
      </c>
      <c r="D26" s="8" t="inlineStr">
        <is>
          <t>Archaea</t>
        </is>
      </c>
      <c r="E26" s="8" t="inlineStr">
        <is>
          <t>Methanobacteriota</t>
        </is>
      </c>
      <c r="F26" s="8" t="n">
        <v>28890</v>
      </c>
      <c r="G26" s="8" t="inlineStr">
        <is>
          <t>core_candidate</t>
        </is>
      </c>
      <c r="H26" s="8" t="inlineStr">
        <is>
          <t>Archaea</t>
        </is>
      </c>
      <c r="I26" s="8" t="inlineStr">
        <is>
          <t>Methanobacteriota</t>
        </is>
      </c>
      <c r="J26" s="8" t="n"/>
      <c r="K26" s="8" t="inlineStr">
        <is>
          <t>Methanomicrobia</t>
        </is>
      </c>
      <c r="L26" s="8" t="inlineStr">
        <is>
          <t>Methanomicrobiales</t>
        </is>
      </c>
      <c r="M26" s="8" t="inlineStr">
        <is>
          <t>Methanospirillaceae</t>
        </is>
      </c>
      <c r="N26" s="8" t="inlineStr">
        <is>
          <t>Methanospirillum</t>
        </is>
      </c>
      <c r="O26" s="8" t="inlineStr">
        <is>
          <t>Methanospirillum stamsii</t>
        </is>
      </c>
      <c r="P26" s="8" t="n">
        <v>2222</v>
      </c>
      <c r="Q26" s="8" t="inlineStr">
        <is>
          <t>mhu</t>
        </is>
      </c>
      <c r="R26" s="8" t="n">
        <v>4830.02</v>
      </c>
      <c r="S26" s="8" t="inlineStr">
        <is>
          <t>119</t>
        </is>
      </c>
      <c r="T26" s="8" t="n">
        <v>29</v>
      </c>
      <c r="U26" s="8" t="inlineStr">
        <is>
          <t>anaerobic</t>
        </is>
      </c>
      <c r="V26" s="8" t="n">
        <v>7</v>
      </c>
      <c r="W26" s="8" t="inlineStr">
        <is>
          <t>ncbi-phylum-2026-08-04-v1</t>
        </is>
      </c>
      <c r="X26" s="8" t="inlineStr">
        <is>
          <t>submitted table</t>
        </is>
      </c>
      <c r="Y26" s="8" t="inlineStr">
        <is>
          <t>yes</t>
        </is>
      </c>
    </row>
    <row r="27">
      <c r="A27" s="8" t="inlineStr">
        <is>
          <t>Sulfolobus_Islandicus_OE21-4-A1POS.mzML</t>
        </is>
      </c>
      <c r="B27" s="8" t="inlineStr">
        <is>
          <t>OE21-4-A1POS</t>
        </is>
      </c>
      <c r="C27" s="8" t="inlineStr">
        <is>
          <t>batch_02_OE21-4-POS</t>
        </is>
      </c>
      <c r="D27" s="8" t="inlineStr">
        <is>
          <t>Archaea</t>
        </is>
      </c>
      <c r="E27" s="8" t="inlineStr">
        <is>
          <t>Thermoproteota</t>
        </is>
      </c>
      <c r="F27" s="8" t="n">
        <v>28889</v>
      </c>
      <c r="G27" s="8" t="inlineStr">
        <is>
          <t>core_candidate</t>
        </is>
      </c>
      <c r="H27" s="8" t="inlineStr">
        <is>
          <t>Archaea</t>
        </is>
      </c>
      <c r="I27" s="8" t="inlineStr">
        <is>
          <t>Thermoproteota</t>
        </is>
      </c>
      <c r="J27" s="8" t="n"/>
      <c r="K27" s="8" t="inlineStr">
        <is>
          <t>Thermoprotei</t>
        </is>
      </c>
      <c r="L27" s="8" t="inlineStr">
        <is>
          <t>Sulfolobales</t>
        </is>
      </c>
      <c r="M27" s="8" t="inlineStr">
        <is>
          <t>Sulfolobaceae</t>
        </is>
      </c>
      <c r="N27" s="8" t="inlineStr">
        <is>
          <t>Sulfolobus</t>
        </is>
      </c>
      <c r="O27" s="8" t="inlineStr">
        <is>
          <t>Sulfolobus islandicus</t>
        </is>
      </c>
      <c r="P27" s="8" t="n">
        <v>43080</v>
      </c>
      <c r="Q27" s="8" t="inlineStr">
        <is>
          <t>sai</t>
        </is>
      </c>
      <c r="R27" s="8" t="n">
        <v>5707.28</v>
      </c>
      <c r="S27" s="8" t="inlineStr">
        <is>
          <t>182</t>
        </is>
      </c>
      <c r="T27" s="8" t="n">
        <v>75</v>
      </c>
      <c r="U27" s="8" t="inlineStr">
        <is>
          <t>aerobic</t>
        </is>
      </c>
      <c r="V27" s="8" t="n">
        <v>3</v>
      </c>
      <c r="W27" s="8" t="inlineStr">
        <is>
          <t>ncbi-phylum-2026-08-04-v1</t>
        </is>
      </c>
      <c r="X27" s="8" t="inlineStr">
        <is>
          <t>submitted table</t>
        </is>
      </c>
      <c r="Y27" s="8" t="inlineStr">
        <is>
          <t>yes</t>
        </is>
      </c>
    </row>
    <row r="28">
      <c r="A28" s="8" t="inlineStr">
        <is>
          <t>Sulfolobus_Islandicus_OE21-4-A1POS_20240618215255.mzML</t>
        </is>
      </c>
      <c r="B28" s="8" t="inlineStr">
        <is>
          <t>OE21-4-A1POS_20240618215255</t>
        </is>
      </c>
      <c r="C28" s="8" t="inlineStr">
        <is>
          <t>batch_02_OE21-4-POS</t>
        </is>
      </c>
      <c r="D28" s="8" t="inlineStr">
        <is>
          <t>Archaea</t>
        </is>
      </c>
      <c r="E28" s="8" t="inlineStr">
        <is>
          <t>Thermoproteota</t>
        </is>
      </c>
      <c r="F28" s="8" t="n">
        <v>28889</v>
      </c>
      <c r="G28" s="8" t="inlineStr">
        <is>
          <t>core_candidate</t>
        </is>
      </c>
      <c r="H28" s="8" t="inlineStr">
        <is>
          <t>Archaea</t>
        </is>
      </c>
      <c r="I28" s="8" t="inlineStr">
        <is>
          <t>Thermoproteota</t>
        </is>
      </c>
      <c r="J28" s="8" t="n"/>
      <c r="K28" s="8" t="inlineStr">
        <is>
          <t>Thermoprotei</t>
        </is>
      </c>
      <c r="L28" s="8" t="inlineStr">
        <is>
          <t>Sulfolobales</t>
        </is>
      </c>
      <c r="M28" s="8" t="inlineStr">
        <is>
          <t>Sulfolobaceae</t>
        </is>
      </c>
      <c r="N28" s="8" t="inlineStr">
        <is>
          <t>Sulfolobus</t>
        </is>
      </c>
      <c r="O28" s="8" t="inlineStr">
        <is>
          <t>Sulfolobus islandicus</t>
        </is>
      </c>
      <c r="P28" s="8" t="n">
        <v>43080</v>
      </c>
      <c r="Q28" s="8" t="inlineStr">
        <is>
          <t>sai</t>
        </is>
      </c>
      <c r="R28" s="8" t="n">
        <v>5707.28</v>
      </c>
      <c r="S28" s="8" t="inlineStr">
        <is>
          <t>182</t>
        </is>
      </c>
      <c r="T28" s="8" t="n">
        <v>75</v>
      </c>
      <c r="U28" s="8" t="inlineStr">
        <is>
          <t>aerobic</t>
        </is>
      </c>
      <c r="V28" s="8" t="n">
        <v>3</v>
      </c>
      <c r="W28" s="8" t="inlineStr">
        <is>
          <t>ncbi-phylum-2026-08-04-v1</t>
        </is>
      </c>
      <c r="X28" s="8" t="inlineStr">
        <is>
          <t>submitted table</t>
        </is>
      </c>
      <c r="Y28" s="8" t="inlineStr">
        <is>
          <t>yes</t>
        </is>
      </c>
    </row>
    <row r="29">
      <c r="A29" s="8" t="inlineStr">
        <is>
          <t>Sulfolobus_Acidocaldarius_OE21-4-A3POS.mzML</t>
        </is>
      </c>
      <c r="B29" s="8" t="inlineStr">
        <is>
          <t>OE21-4-A3POS</t>
        </is>
      </c>
      <c r="C29" s="8" t="inlineStr">
        <is>
          <t>batch_02_OE21-4-POS</t>
        </is>
      </c>
      <c r="D29" s="8" t="inlineStr">
        <is>
          <t>Archaea</t>
        </is>
      </c>
      <c r="E29" s="9" t="inlineStr">
        <is>
          <t>Thermoproteota</t>
        </is>
      </c>
      <c r="F29" s="8" t="n">
        <v>28889</v>
      </c>
      <c r="G29" s="8" t="inlineStr">
        <is>
          <t>core_candidate</t>
        </is>
      </c>
      <c r="H29" s="8" t="inlineStr">
        <is>
          <t>Archaea</t>
        </is>
      </c>
      <c r="I29" s="8" t="inlineStr">
        <is>
          <t>Crenarchaeota</t>
        </is>
      </c>
      <c r="J29" s="8" t="inlineStr">
        <is>
          <t>yes</t>
        </is>
      </c>
      <c r="K29" s="8" t="inlineStr">
        <is>
          <t>Thermoprotei</t>
        </is>
      </c>
      <c r="L29" s="8" t="inlineStr">
        <is>
          <t>Sulfolobales</t>
        </is>
      </c>
      <c r="M29" s="8" t="inlineStr">
        <is>
          <t>Sulfolobaceae</t>
        </is>
      </c>
      <c r="N29" s="8" t="inlineStr">
        <is>
          <t>Sulfolobus</t>
        </is>
      </c>
      <c r="O29" s="8" t="inlineStr">
        <is>
          <t>Sulfolobus acidocaldarius</t>
        </is>
      </c>
      <c r="P29" s="8" t="n">
        <v>2285</v>
      </c>
      <c r="Q29" s="8" t="inlineStr">
        <is>
          <t>sso</t>
        </is>
      </c>
      <c r="R29" s="8" t="n">
        <v>4848.22</v>
      </c>
      <c r="S29" s="8" t="inlineStr">
        <is>
          <t>88</t>
        </is>
      </c>
      <c r="T29" s="8" t="n">
        <v>75</v>
      </c>
      <c r="U29" s="8" t="inlineStr">
        <is>
          <t>aerobic</t>
        </is>
      </c>
      <c r="V29" s="8" t="n">
        <v>3</v>
      </c>
      <c r="W29" s="8" t="inlineStr">
        <is>
          <t>ncbi-phylum-2026-08-04-v1</t>
        </is>
      </c>
      <c r="X29" s="8" t="inlineStr">
        <is>
          <t>submitted table</t>
        </is>
      </c>
      <c r="Y29" s="8" t="inlineStr">
        <is>
          <t>yes</t>
        </is>
      </c>
    </row>
    <row r="30">
      <c r="A30" s="8" t="inlineStr">
        <is>
          <t>Methanothermococcus_Okinawensis_OE21-4-A5POS.mzML</t>
        </is>
      </c>
      <c r="B30" s="8" t="inlineStr">
        <is>
          <t>OE21-4-A5POS</t>
        </is>
      </c>
      <c r="C30" s="8" t="inlineStr">
        <is>
          <t>batch_02_OE21-4-POS</t>
        </is>
      </c>
      <c r="D30" s="8" t="inlineStr">
        <is>
          <t>Archaea</t>
        </is>
      </c>
      <c r="E30" s="9" t="inlineStr">
        <is>
          <t>Methanobacteriota</t>
        </is>
      </c>
      <c r="F30" s="8" t="n">
        <v>28890</v>
      </c>
      <c r="G30" s="8" t="inlineStr">
        <is>
          <t>core_candidate</t>
        </is>
      </c>
      <c r="H30" s="8" t="inlineStr">
        <is>
          <t>Archaea</t>
        </is>
      </c>
      <c r="I30" s="8" t="inlineStr">
        <is>
          <t>Euryarchaeota</t>
        </is>
      </c>
      <c r="J30" s="8" t="inlineStr">
        <is>
          <t>yes</t>
        </is>
      </c>
      <c r="K30" s="8" t="inlineStr">
        <is>
          <t>Methanococci</t>
        </is>
      </c>
      <c r="L30" s="8" t="inlineStr">
        <is>
          <t>Methanococcales</t>
        </is>
      </c>
      <c r="M30" s="8" t="inlineStr">
        <is>
          <t>Methanococcaceae�</t>
        </is>
      </c>
      <c r="N30" s="8" t="inlineStr">
        <is>
          <t>Methanothermococcus</t>
        </is>
      </c>
      <c r="O30" s="8" t="inlineStr">
        <is>
          <t>Methanothermococcus okinawensis</t>
        </is>
      </c>
      <c r="P30" s="8" t="n">
        <v>155863</v>
      </c>
      <c r="Q30" s="8" t="inlineStr">
        <is>
          <t>mok</t>
        </is>
      </c>
      <c r="R30" s="8" t="n">
        <v>4658.34</v>
      </c>
      <c r="S30" s="8" t="inlineStr">
        <is>
          <t>282</t>
        </is>
      </c>
      <c r="T30" s="8" t="n">
        <v>65</v>
      </c>
      <c r="U30" s="8" t="inlineStr">
        <is>
          <t>anaerobic</t>
        </is>
      </c>
      <c r="V30" s="8" t="n"/>
      <c r="W30" s="8" t="inlineStr">
        <is>
          <t>ncbi-phylum-2026-08-04-v1</t>
        </is>
      </c>
      <c r="X30" s="8" t="inlineStr">
        <is>
          <t>submitted table</t>
        </is>
      </c>
      <c r="Y30" s="8" t="inlineStr">
        <is>
          <t>yes</t>
        </is>
      </c>
    </row>
    <row r="31">
      <c r="A31" s="8" t="inlineStr">
        <is>
          <t>Methanotorris_Igneus_OE21-4-A6POS.mzML</t>
        </is>
      </c>
      <c r="B31" s="8" t="inlineStr">
        <is>
          <t>OE21-4-A6POS</t>
        </is>
      </c>
      <c r="C31" s="8" t="inlineStr">
        <is>
          <t>batch_02_OE21-4-POS</t>
        </is>
      </c>
      <c r="D31" s="8" t="inlineStr">
        <is>
          <t>Archaea</t>
        </is>
      </c>
      <c r="E31" s="9" t="inlineStr">
        <is>
          <t>Methanobacteriota</t>
        </is>
      </c>
      <c r="F31" s="8" t="n">
        <v>28890</v>
      </c>
      <c r="G31" s="8" t="inlineStr">
        <is>
          <t>core_candidate</t>
        </is>
      </c>
      <c r="H31" s="8" t="inlineStr">
        <is>
          <t>Archaea</t>
        </is>
      </c>
      <c r="I31" s="8" t="inlineStr">
        <is>
          <t>Euryarchaeota</t>
        </is>
      </c>
      <c r="J31" s="8" t="inlineStr">
        <is>
          <t>yes</t>
        </is>
      </c>
      <c r="K31" s="8" t="inlineStr">
        <is>
          <t>Methanococci</t>
        </is>
      </c>
      <c r="L31" s="8" t="inlineStr">
        <is>
          <t>Methanococcales</t>
        </is>
      </c>
      <c r="M31" s="8" t="inlineStr">
        <is>
          <t>Methanocaldococcaceae</t>
        </is>
      </c>
      <c r="N31" s="8" t="inlineStr">
        <is>
          <t>Methanotorris</t>
        </is>
      </c>
      <c r="O31" s="8" t="inlineStr">
        <is>
          <t>Methanotorris igneus</t>
        </is>
      </c>
      <c r="P31" s="8" t="n">
        <v>647113</v>
      </c>
      <c r="Q31" s="8" t="inlineStr">
        <is>
          <t>mig</t>
        </is>
      </c>
      <c r="R31" s="8" t="n">
        <v>4793.77</v>
      </c>
      <c r="S31" s="8" t="inlineStr">
        <is>
          <t>282</t>
        </is>
      </c>
      <c r="T31" s="8" t="n">
        <v>85</v>
      </c>
      <c r="U31" s="8" t="inlineStr">
        <is>
          <t>anaerobic</t>
        </is>
      </c>
      <c r="V31" s="8" t="n"/>
      <c r="W31" s="8" t="inlineStr">
        <is>
          <t>ncbi-phylum-2026-08-04-v1</t>
        </is>
      </c>
      <c r="X31" s="8" t="inlineStr">
        <is>
          <t>submitted table</t>
        </is>
      </c>
      <c r="Y31" s="8" t="inlineStr">
        <is>
          <t>yes</t>
        </is>
      </c>
    </row>
    <row r="32">
      <c r="A32" s="8" t="inlineStr">
        <is>
          <t>Haloferax_Volcanii_WR_340_OE21-4-A9POS.mzML</t>
        </is>
      </c>
      <c r="B32" s="8" t="inlineStr">
        <is>
          <t>OE21-4-A9POS</t>
        </is>
      </c>
      <c r="C32" s="8" t="inlineStr">
        <is>
          <t>batch_02_OE21-4-POS</t>
        </is>
      </c>
      <c r="D32" s="8" t="inlineStr">
        <is>
          <t>Archaea</t>
        </is>
      </c>
      <c r="E32" s="9" t="inlineStr">
        <is>
          <t>Methanobacteriota</t>
        </is>
      </c>
      <c r="F32" s="8" t="n">
        <v>28890</v>
      </c>
      <c r="G32" s="8" t="inlineStr">
        <is>
          <t>core_candidate</t>
        </is>
      </c>
      <c r="H32" s="8" t="inlineStr">
        <is>
          <t>Archaea</t>
        </is>
      </c>
      <c r="I32" s="8" t="inlineStr">
        <is>
          <t>Euryarchaeota</t>
        </is>
      </c>
      <c r="J32" s="8" t="inlineStr">
        <is>
          <t>yes</t>
        </is>
      </c>
      <c r="K32" s="8" t="inlineStr">
        <is>
          <t>Halobacteria</t>
        </is>
      </c>
      <c r="L32" s="8" t="inlineStr">
        <is>
          <t>Halobacteriales</t>
        </is>
      </c>
      <c r="M32" s="8" t="inlineStr">
        <is>
          <t>Halobacteriaceae</t>
        </is>
      </c>
      <c r="N32" s="8" t="inlineStr">
        <is>
          <t xml:space="preserve">Haloferax </t>
        </is>
      </c>
      <c r="O32" s="8" t="inlineStr">
        <is>
          <t>Haloferax volcanii</t>
        </is>
      </c>
      <c r="P32" s="8" t="n">
        <v>2246</v>
      </c>
      <c r="Q32" s="8" t="inlineStr">
        <is>
          <t>hvo</t>
        </is>
      </c>
      <c r="R32" s="8" t="n">
        <v>4797.5</v>
      </c>
      <c r="S32" s="8" t="n"/>
      <c r="T32" s="8" t="n">
        <v>37</v>
      </c>
      <c r="U32" s="8" t="inlineStr">
        <is>
          <t>aerobic</t>
        </is>
      </c>
      <c r="V32" s="8" t="n">
        <v>7.2</v>
      </c>
      <c r="W32" s="8" t="inlineStr">
        <is>
          <t>ncbi-phylum-2026-08-04-v1</t>
        </is>
      </c>
      <c r="X32" s="8" t="inlineStr">
        <is>
          <t>submitted table</t>
        </is>
      </c>
      <c r="Y32" s="8" t="inlineStr">
        <is>
          <t>yes</t>
        </is>
      </c>
    </row>
    <row r="33">
      <c r="A33" s="8" t="inlineStr">
        <is>
          <t>Streptosporangium_Roseum_OE21-4-B9POS.mzML</t>
        </is>
      </c>
      <c r="B33" s="8" t="inlineStr">
        <is>
          <t>OE21-4-B9POS</t>
        </is>
      </c>
      <c r="C33" s="8" t="inlineStr">
        <is>
          <t>batch_02_OE21-4-POS</t>
        </is>
      </c>
      <c r="D33" s="8" t="inlineStr">
        <is>
          <t>Bacteria</t>
        </is>
      </c>
      <c r="E33" s="8" t="inlineStr">
        <is>
          <t>Actinomycetota</t>
        </is>
      </c>
      <c r="F33" s="8" t="n">
        <v>201174</v>
      </c>
      <c r="G33" s="8" t="inlineStr">
        <is>
          <t>core_candidate</t>
        </is>
      </c>
      <c r="H33" s="8" t="inlineStr">
        <is>
          <t>Bacteria</t>
        </is>
      </c>
      <c r="I33" s="8" t="inlineStr">
        <is>
          <t>Actinomycetota</t>
        </is>
      </c>
      <c r="J33" s="8" t="n"/>
      <c r="K33" s="8" t="inlineStr">
        <is>
          <t>Actinobacteridae</t>
        </is>
      </c>
      <c r="L33" s="8" t="inlineStr">
        <is>
          <t>Actinomycetales</t>
        </is>
      </c>
      <c r="M33" s="8" t="inlineStr">
        <is>
          <t>Streptosporangiaceae</t>
        </is>
      </c>
      <c r="N33" s="8" t="inlineStr">
        <is>
          <t>Streptosporangium</t>
        </is>
      </c>
      <c r="O33" s="8" t="inlineStr">
        <is>
          <t>Streptosporangium roseum</t>
        </is>
      </c>
      <c r="P33" s="8" t="n">
        <v>1928</v>
      </c>
      <c r="Q33" s="8" t="n"/>
      <c r="R33" s="8" t="n">
        <v>0</v>
      </c>
      <c r="S33" s="8" t="inlineStr">
        <is>
          <t>84</t>
        </is>
      </c>
      <c r="T33" s="8" t="n">
        <v>28</v>
      </c>
      <c r="U33" s="8" t="inlineStr">
        <is>
          <t>aerobic</t>
        </is>
      </c>
      <c r="V33" s="8" t="n">
        <v>7.2</v>
      </c>
      <c r="W33" s="8" t="inlineStr">
        <is>
          <t>ncbi-phylum-2026-08-04-v1</t>
        </is>
      </c>
      <c r="X33" s="8" t="inlineStr">
        <is>
          <t>submitted table</t>
        </is>
      </c>
      <c r="Y33" s="8" t="inlineStr">
        <is>
          <t>yes</t>
        </is>
      </c>
    </row>
    <row r="34">
      <c r="A34" s="8" t="inlineStr">
        <is>
          <t>Streptomyces_Sp_OE21-4-E6C13POS.mzML</t>
        </is>
      </c>
      <c r="B34" s="8" t="inlineStr">
        <is>
          <t>OE21-4-E6C13POS</t>
        </is>
      </c>
      <c r="C34" s="8" t="inlineStr">
        <is>
          <t>batch_02_OE21-4-POS</t>
        </is>
      </c>
      <c r="D34" s="8" t="inlineStr">
        <is>
          <t>Bacteria</t>
        </is>
      </c>
      <c r="E34" s="8" t="inlineStr">
        <is>
          <t>Actinomycetota</t>
        </is>
      </c>
      <c r="F34" s="8" t="n">
        <v>201174</v>
      </c>
      <c r="G34" s="8" t="inlineStr">
        <is>
          <t>core_candidate</t>
        </is>
      </c>
      <c r="H34" s="8" t="inlineStr">
        <is>
          <t>Bacteria</t>
        </is>
      </c>
      <c r="I34" s="8" t="inlineStr">
        <is>
          <t>Actinomycetota</t>
        </is>
      </c>
      <c r="J34" s="8" t="n"/>
      <c r="K34" s="8" t="inlineStr">
        <is>
          <t>Actinobacteridae</t>
        </is>
      </c>
      <c r="L34" s="8" t="inlineStr">
        <is>
          <t>Actinomycetales</t>
        </is>
      </c>
      <c r="M34" s="8" t="inlineStr">
        <is>
          <t>Streptomycataceae</t>
        </is>
      </c>
      <c r="N34" s="8" t="inlineStr">
        <is>
          <t>Stretomyces</t>
        </is>
      </c>
      <c r="O34" s="8" t="inlineStr">
        <is>
          <t>unclassified</t>
        </is>
      </c>
      <c r="P34" s="8" t="n">
        <v>1883</v>
      </c>
      <c r="Q34" s="8" t="inlineStr">
        <is>
          <t>sco</t>
        </is>
      </c>
      <c r="R34" s="8" t="n">
        <v>0</v>
      </c>
      <c r="S34" s="8" t="n"/>
      <c r="T34" s="8" t="n"/>
      <c r="U34" s="8" t="n"/>
      <c r="V34" s="8" t="n"/>
      <c r="W34" s="8" t="inlineStr">
        <is>
          <t>ncbi-phylum-2026-08-04-v1</t>
        </is>
      </c>
      <c r="X34" s="8" t="inlineStr">
        <is>
          <t>submitted table</t>
        </is>
      </c>
      <c r="Y34" s="8" t="inlineStr">
        <is>
          <t>yes</t>
        </is>
      </c>
    </row>
    <row r="35">
      <c r="A35" s="8" t="inlineStr">
        <is>
          <t>Rhodococcus_Sp_OE21-4-E6C21POS.mzML</t>
        </is>
      </c>
      <c r="B35" s="8" t="inlineStr">
        <is>
          <t>OE21-4-E6C21POS</t>
        </is>
      </c>
      <c r="C35" s="8" t="inlineStr">
        <is>
          <t>batch_02_OE21-4-POS</t>
        </is>
      </c>
      <c r="D35" s="8" t="inlineStr">
        <is>
          <t>Bacteria</t>
        </is>
      </c>
      <c r="E35" s="8" t="inlineStr">
        <is>
          <t>Actinomycetota</t>
        </is>
      </c>
      <c r="F35" s="8" t="n">
        <v>201174</v>
      </c>
      <c r="G35" s="8" t="inlineStr">
        <is>
          <t>core_candidate</t>
        </is>
      </c>
      <c r="H35" s="8" t="inlineStr">
        <is>
          <t>Bacteria</t>
        </is>
      </c>
      <c r="I35" s="8" t="inlineStr">
        <is>
          <t>Actinomycetota</t>
        </is>
      </c>
      <c r="J35" s="8" t="n"/>
      <c r="K35" s="8" t="inlineStr">
        <is>
          <t>Actinomycetia</t>
        </is>
      </c>
      <c r="L35" s="8" t="inlineStr">
        <is>
          <t>Mycobacteriales</t>
        </is>
      </c>
      <c r="M35" s="8" t="inlineStr">
        <is>
          <t>Nocardiaceae</t>
        </is>
      </c>
      <c r="N35" s="8" t="inlineStr">
        <is>
          <t>Rhodococcus</t>
        </is>
      </c>
      <c r="O35" s="8" t="inlineStr">
        <is>
          <t>unclassified</t>
        </is>
      </c>
      <c r="P35" s="8" t="n">
        <v>1827</v>
      </c>
      <c r="Q35" s="8" t="inlineStr">
        <is>
          <t>rqi</t>
        </is>
      </c>
      <c r="R35" s="8" t="n">
        <v>0</v>
      </c>
      <c r="S35" s="8" t="n"/>
      <c r="T35" s="8" t="n"/>
      <c r="U35" s="8" t="n"/>
      <c r="V35" s="8" t="n"/>
      <c r="W35" s="8" t="inlineStr">
        <is>
          <t>ncbi-phylum-2026-08-04-v1</t>
        </is>
      </c>
      <c r="X35" s="8" t="inlineStr">
        <is>
          <t>submitted table</t>
        </is>
      </c>
      <c r="Y35" s="8" t="inlineStr">
        <is>
          <t>yes</t>
        </is>
      </c>
    </row>
    <row r="36">
      <c r="A36" s="8" t="inlineStr">
        <is>
          <t>Rhodococcus_Sp_OE21-4-E6C4POS.mzML</t>
        </is>
      </c>
      <c r="B36" s="8" t="inlineStr">
        <is>
          <t>OE21-4-E6C4POS</t>
        </is>
      </c>
      <c r="C36" s="8" t="inlineStr">
        <is>
          <t>batch_02_OE21-4-POS</t>
        </is>
      </c>
      <c r="D36" s="8" t="inlineStr">
        <is>
          <t>Bacteria</t>
        </is>
      </c>
      <c r="E36" s="8" t="inlineStr">
        <is>
          <t>Actinomycetota</t>
        </is>
      </c>
      <c r="F36" s="8" t="n">
        <v>201174</v>
      </c>
      <c r="G36" s="8" t="inlineStr">
        <is>
          <t>core_candidate</t>
        </is>
      </c>
      <c r="H36" s="8" t="inlineStr">
        <is>
          <t>Bacteria</t>
        </is>
      </c>
      <c r="I36" s="8" t="inlineStr">
        <is>
          <t>Actinomycetota</t>
        </is>
      </c>
      <c r="J36" s="8" t="n"/>
      <c r="K36" s="8" t="inlineStr">
        <is>
          <t>Actinomycetia</t>
        </is>
      </c>
      <c r="L36" s="8" t="inlineStr">
        <is>
          <t>Mycobacteriales</t>
        </is>
      </c>
      <c r="M36" s="8" t="inlineStr">
        <is>
          <t>Nocardiaceae</t>
        </is>
      </c>
      <c r="N36" s="8" t="inlineStr">
        <is>
          <t>Rhodococcus</t>
        </is>
      </c>
      <c r="O36" s="8" t="inlineStr">
        <is>
          <t>unclassified</t>
        </is>
      </c>
      <c r="P36" s="8" t="n">
        <v>1827</v>
      </c>
      <c r="Q36" s="8" t="inlineStr">
        <is>
          <t>rqi</t>
        </is>
      </c>
      <c r="R36" s="8" t="n">
        <v>0</v>
      </c>
      <c r="S36" s="8" t="n"/>
      <c r="T36" s="8" t="n"/>
      <c r="U36" s="8" t="n"/>
      <c r="V36" s="8" t="n"/>
      <c r="W36" s="8" t="inlineStr">
        <is>
          <t>ncbi-phylum-2026-08-04-v1</t>
        </is>
      </c>
      <c r="X36" s="8" t="inlineStr">
        <is>
          <t>submitted table</t>
        </is>
      </c>
      <c r="Y36" s="8" t="inlineStr">
        <is>
          <t>yes</t>
        </is>
      </c>
    </row>
    <row r="37">
      <c r="A37" s="8" t="inlineStr">
        <is>
          <t>Rhodococcus_Sp_OE21-4-E6C6POS.mzML</t>
        </is>
      </c>
      <c r="B37" s="8" t="inlineStr">
        <is>
          <t>OE21-4-E6C6POS</t>
        </is>
      </c>
      <c r="C37" s="8" t="inlineStr">
        <is>
          <t>batch_02_OE21-4-POS</t>
        </is>
      </c>
      <c r="D37" s="8" t="inlineStr">
        <is>
          <t>Bacteria</t>
        </is>
      </c>
      <c r="E37" s="8" t="inlineStr">
        <is>
          <t>Actinomycetota</t>
        </is>
      </c>
      <c r="F37" s="8" t="n">
        <v>201174</v>
      </c>
      <c r="G37" s="8" t="inlineStr">
        <is>
          <t>core_candidate</t>
        </is>
      </c>
      <c r="H37" s="8" t="inlineStr">
        <is>
          <t>Bacteria</t>
        </is>
      </c>
      <c r="I37" s="8" t="inlineStr">
        <is>
          <t>Actinomycetota</t>
        </is>
      </c>
      <c r="J37" s="8" t="n"/>
      <c r="K37" s="8" t="inlineStr">
        <is>
          <t>Actinomycetia</t>
        </is>
      </c>
      <c r="L37" s="8" t="inlineStr">
        <is>
          <t>Mycobacteriales</t>
        </is>
      </c>
      <c r="M37" s="8" t="inlineStr">
        <is>
          <t>Nocardiaceae</t>
        </is>
      </c>
      <c r="N37" s="8" t="inlineStr">
        <is>
          <t>Rhodococcus</t>
        </is>
      </c>
      <c r="O37" s="8" t="inlineStr">
        <is>
          <t>unclassified</t>
        </is>
      </c>
      <c r="P37" s="8" t="n">
        <v>1827</v>
      </c>
      <c r="Q37" s="8" t="inlineStr">
        <is>
          <t>rqi</t>
        </is>
      </c>
      <c r="R37" s="8" t="n">
        <v>0</v>
      </c>
      <c r="S37" s="8" t="n"/>
      <c r="T37" s="8" t="n"/>
      <c r="U37" s="8" t="n"/>
      <c r="V37" s="8" t="n"/>
      <c r="W37" s="8" t="inlineStr">
        <is>
          <t>ncbi-phylum-2026-08-04-v1</t>
        </is>
      </c>
      <c r="X37" s="8" t="inlineStr">
        <is>
          <t>submitted table</t>
        </is>
      </c>
      <c r="Y37" s="8" t="inlineStr">
        <is>
          <t>yes</t>
        </is>
      </c>
    </row>
    <row r="38">
      <c r="A38" s="8" t="inlineStr">
        <is>
          <t>Aspergillus_nidulans_HBs_F02_OE21-4-E8F38POS.mzML</t>
        </is>
      </c>
      <c r="B38" s="8" t="inlineStr">
        <is>
          <t>OE21-4-E8F38POS</t>
        </is>
      </c>
      <c r="C38" s="8" t="inlineStr">
        <is>
          <t>batch_02_OE21-4-POS</t>
        </is>
      </c>
      <c r="D38" s="8" t="inlineStr">
        <is>
          <t>Fungi</t>
        </is>
      </c>
      <c r="E38" s="8" t="inlineStr">
        <is>
          <t>Ascomycota</t>
        </is>
      </c>
      <c r="F38" s="8" t="n">
        <v>4890</v>
      </c>
      <c r="G38" s="8" t="inlineStr">
        <is>
          <t>core_candidate</t>
        </is>
      </c>
      <c r="H38" s="8" t="inlineStr">
        <is>
          <t>Fungi</t>
        </is>
      </c>
      <c r="I38" s="8" t="inlineStr">
        <is>
          <t>Ascomycota</t>
        </is>
      </c>
      <c r="J38" s="8" t="n"/>
      <c r="K38" s="8" t="inlineStr">
        <is>
          <t>Eurotiomycetes</t>
        </is>
      </c>
      <c r="L38" s="8" t="inlineStr">
        <is>
          <t>Eurotiales</t>
        </is>
      </c>
      <c r="M38" s="8" t="inlineStr">
        <is>
          <t>Aspergillaceae</t>
        </is>
      </c>
      <c r="N38" s="8" t="inlineStr">
        <is>
          <t>Aspergillus</t>
        </is>
      </c>
      <c r="O38" s="8" t="inlineStr">
        <is>
          <t>Aspergillus nidulans</t>
        </is>
      </c>
      <c r="P38" s="8" t="n">
        <v>162425</v>
      </c>
      <c r="Q38" s="8" t="inlineStr">
        <is>
          <t>afm</t>
        </is>
      </c>
      <c r="R38" s="8" t="n">
        <v>0</v>
      </c>
      <c r="S38" s="8" t="inlineStr">
        <is>
          <t>MEB</t>
        </is>
      </c>
      <c r="T38" s="8" t="n">
        <v>22</v>
      </c>
      <c r="U38" s="8" t="inlineStr">
        <is>
          <t>aerobic</t>
        </is>
      </c>
      <c r="V38" s="8" t="n">
        <v>5.6</v>
      </c>
      <c r="W38" s="8" t="inlineStr">
        <is>
          <t>ncbi-phylum-2026-08-04-v1</t>
        </is>
      </c>
      <c r="X38" s="8" t="inlineStr">
        <is>
          <t>submitted table</t>
        </is>
      </c>
      <c r="Y38" s="8" t="inlineStr">
        <is>
          <t>yes</t>
        </is>
      </c>
    </row>
    <row r="39">
      <c r="A39" s="8" t="inlineStr">
        <is>
          <t>Gibellulopsis_Nigrescens_NG_p09_OE21-4-E8F41POS.mzML</t>
        </is>
      </c>
      <c r="B39" s="8" t="inlineStr">
        <is>
          <t>OE21-4-E8F41POS</t>
        </is>
      </c>
      <c r="C39" s="8" t="inlineStr">
        <is>
          <t>batch_02_OE21-4-POS</t>
        </is>
      </c>
      <c r="D39" s="8" t="inlineStr">
        <is>
          <t>Fungi</t>
        </is>
      </c>
      <c r="E39" s="8" t="inlineStr">
        <is>
          <t>Ascomycota</t>
        </is>
      </c>
      <c r="F39" s="8" t="n">
        <v>4890</v>
      </c>
      <c r="G39" s="8" t="inlineStr">
        <is>
          <t>core_candidate</t>
        </is>
      </c>
      <c r="H39" s="8" t="inlineStr">
        <is>
          <t>Fungi</t>
        </is>
      </c>
      <c r="I39" s="8" t="inlineStr">
        <is>
          <t>Ascomycota</t>
        </is>
      </c>
      <c r="J39" s="8" t="n"/>
      <c r="K39" s="8" t="inlineStr">
        <is>
          <t>Sordariomycetes</t>
        </is>
      </c>
      <c r="L39" s="8" t="inlineStr">
        <is>
          <t>Glomerellales</t>
        </is>
      </c>
      <c r="M39" s="8" t="inlineStr">
        <is>
          <t>Plectosphaerellaceae</t>
        </is>
      </c>
      <c r="N39" s="8" t="inlineStr">
        <is>
          <t>Gibellulopsis</t>
        </is>
      </c>
      <c r="O39" s="8" t="inlineStr">
        <is>
          <t>Gibellulopsis nigrescens</t>
        </is>
      </c>
      <c r="P39" s="8" t="n">
        <v>796325</v>
      </c>
      <c r="Q39" s="8" t="n"/>
      <c r="R39" s="8" t="n"/>
      <c r="S39" s="8" t="inlineStr">
        <is>
          <t>MEB</t>
        </is>
      </c>
      <c r="T39" s="8" t="n">
        <v>22</v>
      </c>
      <c r="U39" s="8" t="inlineStr">
        <is>
          <t>aerobic</t>
        </is>
      </c>
      <c r="V39" s="8" t="n">
        <v>5.6</v>
      </c>
      <c r="W39" s="8" t="inlineStr">
        <is>
          <t>ncbi-phylum-2026-08-04-v1</t>
        </is>
      </c>
      <c r="X39" s="8" t="inlineStr">
        <is>
          <t>submitted table</t>
        </is>
      </c>
      <c r="Y39" s="8" t="inlineStr">
        <is>
          <t>yes</t>
        </is>
      </c>
    </row>
    <row r="40">
      <c r="A40" s="8" t="inlineStr">
        <is>
          <t>Warcupia_Sp_D_D17_OE21-4-E8F42POS.mzML</t>
        </is>
      </c>
      <c r="B40" s="8" t="inlineStr">
        <is>
          <t>OE21-4-E8F42POS</t>
        </is>
      </c>
      <c r="C40" s="8" t="inlineStr">
        <is>
          <t>batch_02_OE21-4-POS</t>
        </is>
      </c>
      <c r="D40" s="8" t="inlineStr">
        <is>
          <t>Fungi</t>
        </is>
      </c>
      <c r="E40" s="8" t="inlineStr">
        <is>
          <t>Ascomycota</t>
        </is>
      </c>
      <c r="F40" s="8" t="n">
        <v>4890</v>
      </c>
      <c r="G40" s="8" t="inlineStr">
        <is>
          <t>core_candidate</t>
        </is>
      </c>
      <c r="H40" s="8" t="inlineStr">
        <is>
          <t>Fungi</t>
        </is>
      </c>
      <c r="I40" s="8" t="inlineStr">
        <is>
          <t>Ascomycota</t>
        </is>
      </c>
      <c r="J40" s="8" t="n"/>
      <c r="K40" s="8" t="inlineStr">
        <is>
          <t>Pezizomycetes</t>
        </is>
      </c>
      <c r="L40" s="8" t="inlineStr">
        <is>
          <t>Pezizales</t>
        </is>
      </c>
      <c r="M40" s="8" t="inlineStr">
        <is>
          <t>Otideaceae</t>
        </is>
      </c>
      <c r="N40" s="8" t="inlineStr">
        <is>
          <t>Warcupia</t>
        </is>
      </c>
      <c r="O40" s="8" t="inlineStr">
        <is>
          <t>unclassified</t>
        </is>
      </c>
      <c r="P40" s="8" t="n">
        <v>277197</v>
      </c>
      <c r="Q40" s="8" t="n"/>
      <c r="R40" s="8" t="n"/>
      <c r="S40" s="8" t="n"/>
      <c r="T40" s="8" t="n"/>
      <c r="U40" s="8" t="n"/>
      <c r="V40" s="8" t="n"/>
      <c r="W40" s="8" t="inlineStr">
        <is>
          <t>ncbi-phylum-2026-08-04-v1</t>
        </is>
      </c>
      <c r="X40" s="8" t="inlineStr">
        <is>
          <t>submitted table</t>
        </is>
      </c>
      <c r="Y40" s="8" t="inlineStr">
        <is>
          <t>yes</t>
        </is>
      </c>
    </row>
    <row r="41">
      <c r="A41" s="8" t="inlineStr">
        <is>
          <t>Exophiala_Sp_DG1901_E_OE21-4-E8F44POS.mzML</t>
        </is>
      </c>
      <c r="B41" s="8" t="inlineStr">
        <is>
          <t>OE21-4-E8F44POS</t>
        </is>
      </c>
      <c r="C41" s="8" t="inlineStr">
        <is>
          <t>batch_02_OE21-4-POS</t>
        </is>
      </c>
      <c r="D41" s="8" t="inlineStr">
        <is>
          <t>Fungi</t>
        </is>
      </c>
      <c r="E41" s="8" t="inlineStr">
        <is>
          <t>Ascomycota</t>
        </is>
      </c>
      <c r="F41" s="8" t="n">
        <v>4890</v>
      </c>
      <c r="G41" s="8" t="inlineStr">
        <is>
          <t>core_candidate</t>
        </is>
      </c>
      <c r="H41" s="8" t="inlineStr">
        <is>
          <t>Fungi</t>
        </is>
      </c>
      <c r="I41" s="8" t="inlineStr">
        <is>
          <t>Ascomycota</t>
        </is>
      </c>
      <c r="J41" s="8" t="n"/>
      <c r="K41" s="8" t="inlineStr">
        <is>
          <t>Chaetothyriomycetes</t>
        </is>
      </c>
      <c r="L41" s="8" t="inlineStr">
        <is>
          <t>Chaetothyriales</t>
        </is>
      </c>
      <c r="M41" s="8" t="inlineStr">
        <is>
          <t>Herpotrichiellaceae</t>
        </is>
      </c>
      <c r="N41" s="8" t="inlineStr">
        <is>
          <t>Exophiala</t>
        </is>
      </c>
      <c r="O41" s="8" t="inlineStr">
        <is>
          <t>unclassified</t>
        </is>
      </c>
      <c r="P41" s="8" t="n">
        <v>5980</v>
      </c>
      <c r="Q41" s="8" t="n"/>
      <c r="R41" s="8" t="n"/>
      <c r="S41" s="8" t="n"/>
      <c r="T41" s="8" t="n"/>
      <c r="U41" s="8" t="n"/>
      <c r="V41" s="8" t="n"/>
      <c r="W41" s="8" t="inlineStr">
        <is>
          <t>ncbi-phylum-2026-08-04-v1</t>
        </is>
      </c>
      <c r="X41" s="8" t="inlineStr">
        <is>
          <t>submitted table</t>
        </is>
      </c>
      <c r="Y41" s="8" t="inlineStr">
        <is>
          <t>yes</t>
        </is>
      </c>
    </row>
    <row r="42">
      <c r="A42" s="8" t="inlineStr">
        <is>
          <t>Blastobotrys_Sp_LG1401_ESA_OE21-4-E8F45POS.mzML</t>
        </is>
      </c>
      <c r="B42" s="8" t="inlineStr">
        <is>
          <t>OE21-4-E8F45POS</t>
        </is>
      </c>
      <c r="C42" s="8" t="inlineStr">
        <is>
          <t>batch_02_OE21-4-POS</t>
        </is>
      </c>
      <c r="D42" s="8" t="inlineStr">
        <is>
          <t>Fungi</t>
        </is>
      </c>
      <c r="E42" s="8" t="inlineStr">
        <is>
          <t>Ascomycota</t>
        </is>
      </c>
      <c r="F42" s="8" t="n">
        <v>4890</v>
      </c>
      <c r="G42" s="8" t="inlineStr">
        <is>
          <t>core_candidate</t>
        </is>
      </c>
      <c r="H42" s="8" t="inlineStr">
        <is>
          <t>Fungi</t>
        </is>
      </c>
      <c r="I42" s="8" t="inlineStr">
        <is>
          <t>Ascomycota</t>
        </is>
      </c>
      <c r="J42" s="8" t="n"/>
      <c r="K42" s="8" t="inlineStr">
        <is>
          <t>Saccharomycetes</t>
        </is>
      </c>
      <c r="L42" s="8" t="inlineStr">
        <is>
          <t>Saccharomycetales</t>
        </is>
      </c>
      <c r="M42" s="8" t="inlineStr">
        <is>
          <t>Trichomonascaceae</t>
        </is>
      </c>
      <c r="N42" s="8" t="inlineStr">
        <is>
          <t>Blastobotrys</t>
        </is>
      </c>
      <c r="O42" s="8" t="inlineStr">
        <is>
          <t>unclassified</t>
        </is>
      </c>
      <c r="P42" s="8" t="n">
        <v>66765</v>
      </c>
      <c r="Q42" s="8" t="n"/>
      <c r="R42" s="8" t="n"/>
      <c r="S42" s="8" t="n"/>
      <c r="T42" s="8" t="n"/>
      <c r="U42" s="8" t="n"/>
      <c r="V42" s="8" t="n"/>
      <c r="W42" s="8" t="inlineStr">
        <is>
          <t>ncbi-phylum-2026-08-04-v1</t>
        </is>
      </c>
      <c r="X42" s="8" t="inlineStr">
        <is>
          <t>submitted table</t>
        </is>
      </c>
      <c r="Y42" s="8" t="inlineStr">
        <is>
          <t>yes</t>
        </is>
      </c>
    </row>
    <row r="43">
      <c r="A43" s="8" t="inlineStr">
        <is>
          <t>Pyrenochaeta_Cava_NG_p25_OE21-4-E8F51POS.mzML</t>
        </is>
      </c>
      <c r="B43" s="8" t="inlineStr">
        <is>
          <t>OE21-4-E8F51POS</t>
        </is>
      </c>
      <c r="C43" s="8" t="inlineStr">
        <is>
          <t>batch_02_OE21-4-POS</t>
        </is>
      </c>
      <c r="D43" s="8" t="inlineStr">
        <is>
          <t>Fungi</t>
        </is>
      </c>
      <c r="E43" s="8" t="inlineStr">
        <is>
          <t>Ascomycota</t>
        </is>
      </c>
      <c r="F43" s="8" t="n">
        <v>4890</v>
      </c>
      <c r="G43" s="8" t="inlineStr">
        <is>
          <t>core_candidate</t>
        </is>
      </c>
      <c r="H43" s="8" t="inlineStr">
        <is>
          <t>Fungi</t>
        </is>
      </c>
      <c r="I43" s="8" t="inlineStr">
        <is>
          <t>Ascomycota</t>
        </is>
      </c>
      <c r="J43" s="8" t="n"/>
      <c r="K43" s="8" t="inlineStr">
        <is>
          <t>Dothideomycetes</t>
        </is>
      </c>
      <c r="L43" s="8" t="inlineStr">
        <is>
          <t>Pleosporales</t>
        </is>
      </c>
      <c r="M43" s="8" t="inlineStr">
        <is>
          <t>Cucurbitariaceae</t>
        </is>
      </c>
      <c r="N43" s="8" t="inlineStr">
        <is>
          <t>Neocucurbitaria</t>
        </is>
      </c>
      <c r="O43" s="8" t="inlineStr">
        <is>
          <t>Neocucurbitaria cava</t>
        </is>
      </c>
      <c r="P43" s="8" t="n">
        <v>1685289</v>
      </c>
      <c r="Q43" s="8" t="n"/>
      <c r="R43" s="8" t="n"/>
      <c r="S43" s="8" t="n"/>
      <c r="T43" s="8" t="n"/>
      <c r="U43" s="8" t="n"/>
      <c r="V43" s="8" t="n"/>
      <c r="W43" s="8" t="inlineStr">
        <is>
          <t>ncbi-phylum-2026-08-04-v1</t>
        </is>
      </c>
      <c r="X43" s="8" t="inlineStr">
        <is>
          <t>submitted table</t>
        </is>
      </c>
      <c r="Y43" s="8" t="inlineStr">
        <is>
          <t>yes</t>
        </is>
      </c>
    </row>
    <row r="44">
      <c r="A44" s="8" t="inlineStr">
        <is>
          <t>Geomyces_Sp_N_J2_OE21-4-E8F56POS.mzML</t>
        </is>
      </c>
      <c r="B44" s="8" t="inlineStr">
        <is>
          <t>OE21-4-E8F56POS</t>
        </is>
      </c>
      <c r="C44" s="8" t="inlineStr">
        <is>
          <t>batch_02_OE21-4-POS</t>
        </is>
      </c>
      <c r="D44" s="8" t="inlineStr">
        <is>
          <t>Fungi</t>
        </is>
      </c>
      <c r="E44" s="8" t="inlineStr">
        <is>
          <t>Ascomycota</t>
        </is>
      </c>
      <c r="F44" s="8" t="n">
        <v>4890</v>
      </c>
      <c r="G44" s="8" t="inlineStr">
        <is>
          <t>core_candidate</t>
        </is>
      </c>
      <c r="H44" s="8" t="inlineStr">
        <is>
          <t>Fungi</t>
        </is>
      </c>
      <c r="I44" s="8" t="inlineStr">
        <is>
          <t>Ascomycota</t>
        </is>
      </c>
      <c r="J44" s="8" t="n"/>
      <c r="K44" s="8" t="inlineStr">
        <is>
          <t>Leotiomycetes</t>
        </is>
      </c>
      <c r="L44" s="8" t="inlineStr">
        <is>
          <t>Thelebolales</t>
        </is>
      </c>
      <c r="M44" s="8" t="inlineStr">
        <is>
          <t>Pseuderotiaceae</t>
        </is>
      </c>
      <c r="N44" s="8" t="inlineStr">
        <is>
          <t>Geomyces</t>
        </is>
      </c>
      <c r="O44" s="8" t="inlineStr">
        <is>
          <t>Unclassified</t>
        </is>
      </c>
      <c r="P44" s="8" t="n">
        <v>229535</v>
      </c>
      <c r="Q44" s="8" t="n"/>
      <c r="R44" s="8" t="n"/>
      <c r="S44" s="8" t="n"/>
      <c r="T44" s="8" t="n"/>
      <c r="U44" s="8" t="n"/>
      <c r="V44" s="8" t="n"/>
      <c r="W44" s="8" t="inlineStr">
        <is>
          <t>ncbi-phylum-2026-08-04-v1</t>
        </is>
      </c>
      <c r="X44" s="8" t="inlineStr">
        <is>
          <t>submitted table</t>
        </is>
      </c>
      <c r="Y44" s="8" t="inlineStr">
        <is>
          <t>yes</t>
        </is>
      </c>
    </row>
    <row r="45">
      <c r="A45" s="8" t="inlineStr">
        <is>
          <t>Lentinula_Edodes_OE21-4-F10POS.mzML</t>
        </is>
      </c>
      <c r="B45" s="8" t="inlineStr">
        <is>
          <t>OE21-4-F10POS</t>
        </is>
      </c>
      <c r="C45" s="8" t="inlineStr">
        <is>
          <t>batch_02_OE21-4-POS</t>
        </is>
      </c>
      <c r="D45" s="8" t="inlineStr">
        <is>
          <t>Fungi</t>
        </is>
      </c>
      <c r="E45" s="8" t="inlineStr">
        <is>
          <t>Basidiomycota</t>
        </is>
      </c>
      <c r="F45" s="8" t="n">
        <v>5204</v>
      </c>
      <c r="G45" s="8" t="inlineStr">
        <is>
          <t>core_candidate</t>
        </is>
      </c>
      <c r="H45" s="8" t="inlineStr">
        <is>
          <t>Fungi</t>
        </is>
      </c>
      <c r="I45" s="8" t="inlineStr">
        <is>
          <t>Basidiomycota</t>
        </is>
      </c>
      <c r="J45" s="8" t="n"/>
      <c r="K45" s="8" t="inlineStr">
        <is>
          <t>Agaricomycetes</t>
        </is>
      </c>
      <c r="L45" s="8" t="inlineStr">
        <is>
          <t>Agaricales</t>
        </is>
      </c>
      <c r="M45" s="8" t="inlineStr">
        <is>
          <t>Omphalotaceae</t>
        </is>
      </c>
      <c r="N45" s="8" t="inlineStr">
        <is>
          <t>Lentinula</t>
        </is>
      </c>
      <c r="O45" s="8" t="inlineStr">
        <is>
          <t>Lentinula Edodes</t>
        </is>
      </c>
      <c r="P45" s="8" t="n">
        <v>5353</v>
      </c>
      <c r="Q45" s="8" t="n"/>
      <c r="R45" s="8" t="n">
        <v>4753.02</v>
      </c>
      <c r="S45" s="8" t="inlineStr">
        <is>
          <t>N/A - fruiting body</t>
        </is>
      </c>
      <c r="T45" s="8" t="n"/>
      <c r="U45" s="8" t="n"/>
      <c r="V45" s="8" t="n"/>
      <c r="W45" s="8" t="inlineStr">
        <is>
          <t>ncbi-phylum-2026-08-04-v1</t>
        </is>
      </c>
      <c r="X45" s="8" t="inlineStr">
        <is>
          <t>submitted table</t>
        </is>
      </c>
      <c r="Y45" s="8" t="inlineStr">
        <is>
          <t>yes</t>
        </is>
      </c>
    </row>
    <row r="46">
      <c r="A46" s="8" t="inlineStr">
        <is>
          <t>Craterellus_Cornucopioides_OE21-4-F12POS.mzML</t>
        </is>
      </c>
      <c r="B46" s="8" t="inlineStr">
        <is>
          <t>OE21-4-F12POS</t>
        </is>
      </c>
      <c r="C46" s="8" t="inlineStr">
        <is>
          <t>batch_02_OE21-4-POS</t>
        </is>
      </c>
      <c r="D46" s="8" t="inlineStr">
        <is>
          <t>Fungi</t>
        </is>
      </c>
      <c r="E46" s="8" t="inlineStr">
        <is>
          <t>Basidiomycota</t>
        </is>
      </c>
      <c r="F46" s="8" t="n">
        <v>5204</v>
      </c>
      <c r="G46" s="8" t="inlineStr">
        <is>
          <t>core_candidate</t>
        </is>
      </c>
      <c r="H46" s="8" t="inlineStr">
        <is>
          <t>Fungi</t>
        </is>
      </c>
      <c r="I46" s="8" t="inlineStr">
        <is>
          <t>Basidiomycota</t>
        </is>
      </c>
      <c r="J46" s="8" t="n"/>
      <c r="K46" s="8" t="inlineStr">
        <is>
          <t>Agaricomycetes</t>
        </is>
      </c>
      <c r="L46" s="8" t="inlineStr">
        <is>
          <t>Cantharellales</t>
        </is>
      </c>
      <c r="M46" s="8" t="inlineStr">
        <is>
          <t>Hydnaceae</t>
        </is>
      </c>
      <c r="N46" s="8" t="inlineStr">
        <is>
          <t>Carterellus</t>
        </is>
      </c>
      <c r="O46" s="8" t="inlineStr">
        <is>
          <t>Carterellus cornucopioides</t>
        </is>
      </c>
      <c r="P46" s="8" t="n">
        <v>38291</v>
      </c>
      <c r="Q46" s="8" t="n"/>
      <c r="R46" s="8" t="n">
        <v>4723.71</v>
      </c>
      <c r="S46" s="8" t="inlineStr">
        <is>
          <t>N/A - fruiting body</t>
        </is>
      </c>
      <c r="T46" s="8" t="n"/>
      <c r="U46" s="8" t="n"/>
      <c r="V46" s="8" t="n"/>
      <c r="W46" s="8" t="inlineStr">
        <is>
          <t>ncbi-phylum-2026-08-04-v1</t>
        </is>
      </c>
      <c r="X46" s="8" t="inlineStr">
        <is>
          <t>submitted table</t>
        </is>
      </c>
      <c r="Y46" s="8" t="inlineStr">
        <is>
          <t>yes</t>
        </is>
      </c>
    </row>
    <row r="47">
      <c r="A47" s="8" t="inlineStr">
        <is>
          <t>Tetracladium_Marchalianum_OE21-4-F29POS.mzML</t>
        </is>
      </c>
      <c r="B47" s="8" t="inlineStr">
        <is>
          <t>OE21-4-F29POS</t>
        </is>
      </c>
      <c r="C47" s="8" t="inlineStr">
        <is>
          <t>batch_02_OE21-4-POS</t>
        </is>
      </c>
      <c r="D47" s="8" t="inlineStr">
        <is>
          <t>Fungi</t>
        </is>
      </c>
      <c r="E47" s="8" t="inlineStr">
        <is>
          <t>Ascomycota</t>
        </is>
      </c>
      <c r="F47" s="8" t="n">
        <v>4890</v>
      </c>
      <c r="G47" s="8" t="inlineStr">
        <is>
          <t>core_candidate</t>
        </is>
      </c>
      <c r="H47" s="8" t="inlineStr">
        <is>
          <t>Fungi</t>
        </is>
      </c>
      <c r="I47" s="8" t="inlineStr">
        <is>
          <t>Ascomycota</t>
        </is>
      </c>
      <c r="J47" s="8" t="n"/>
      <c r="K47" s="8" t="inlineStr">
        <is>
          <t>Leotiomycetes</t>
        </is>
      </c>
      <c r="L47" s="8" t="inlineStr">
        <is>
          <t>Helotiales</t>
        </is>
      </c>
      <c r="M47" s="8" t="inlineStr">
        <is>
          <t>Helotiaceae</t>
        </is>
      </c>
      <c r="N47" s="8" t="inlineStr">
        <is>
          <t>Tetracladium</t>
        </is>
      </c>
      <c r="O47" s="8" t="inlineStr">
        <is>
          <t>Tetracladium marchalianum</t>
        </is>
      </c>
      <c r="P47" s="8" t="n">
        <v>164538</v>
      </c>
      <c r="Q47" s="8" t="n"/>
      <c r="R47" s="8" t="n">
        <v>4744.14</v>
      </c>
      <c r="S47" s="8" t="inlineStr">
        <is>
          <t>MEB</t>
        </is>
      </c>
      <c r="T47" s="8" t="n">
        <v>22</v>
      </c>
      <c r="U47" s="8" t="inlineStr">
        <is>
          <t>aerobic</t>
        </is>
      </c>
      <c r="V47" s="8" t="n">
        <v>5.6</v>
      </c>
      <c r="W47" s="8" t="inlineStr">
        <is>
          <t>ncbi-phylum-2026-08-04-v1</t>
        </is>
      </c>
      <c r="X47" s="8" t="inlineStr">
        <is>
          <t>submitted table</t>
        </is>
      </c>
      <c r="Y47" s="8" t="inlineStr">
        <is>
          <t>yes</t>
        </is>
      </c>
    </row>
    <row r="48">
      <c r="A48" s="8" t="inlineStr">
        <is>
          <t>Psilocybe_Cyanescens_OE21-4-F5POS.mzML</t>
        </is>
      </c>
      <c r="B48" s="8" t="inlineStr">
        <is>
          <t>OE21-4-F5POS</t>
        </is>
      </c>
      <c r="C48" s="8" t="inlineStr">
        <is>
          <t>batch_02_OE21-4-POS</t>
        </is>
      </c>
      <c r="D48" s="8" t="inlineStr">
        <is>
          <t>Fungi</t>
        </is>
      </c>
      <c r="E48" s="8" t="inlineStr">
        <is>
          <t>Basidiomycota</t>
        </is>
      </c>
      <c r="F48" s="8" t="n">
        <v>5204</v>
      </c>
      <c r="G48" s="8" t="inlineStr">
        <is>
          <t>core_candidate</t>
        </is>
      </c>
      <c r="H48" s="8" t="inlineStr">
        <is>
          <t>Fungi</t>
        </is>
      </c>
      <c r="I48" s="8" t="inlineStr">
        <is>
          <t>Basidiomycota</t>
        </is>
      </c>
      <c r="J48" s="8" t="n"/>
      <c r="K48" s="8" t="inlineStr">
        <is>
          <t>Agaricomycetes</t>
        </is>
      </c>
      <c r="L48" s="8" t="inlineStr">
        <is>
          <t>Agaricales</t>
        </is>
      </c>
      <c r="M48" s="8" t="inlineStr">
        <is>
          <t>hymenogastraceae</t>
        </is>
      </c>
      <c r="N48" s="8" t="inlineStr">
        <is>
          <t>Psilocybe</t>
        </is>
      </c>
      <c r="O48" s="8" t="inlineStr">
        <is>
          <t>Psilocybe cyanescens</t>
        </is>
      </c>
      <c r="P48" s="8" t="n">
        <v>93625</v>
      </c>
      <c r="Q48" s="8" t="inlineStr">
        <is>
          <t>pcub</t>
        </is>
      </c>
      <c r="R48" s="8" t="n">
        <v>4712.51</v>
      </c>
      <c r="S48" s="8" t="inlineStr">
        <is>
          <t>90</t>
        </is>
      </c>
      <c r="T48" s="8" t="n">
        <v>22</v>
      </c>
      <c r="U48" s="8" t="inlineStr">
        <is>
          <t>aerobic</t>
        </is>
      </c>
      <c r="V48" s="8" t="n">
        <v>5.6</v>
      </c>
      <c r="W48" s="8" t="inlineStr">
        <is>
          <t>ncbi-phylum-2026-08-04-v1</t>
        </is>
      </c>
      <c r="X48" s="8" t="inlineStr">
        <is>
          <t>submitted table</t>
        </is>
      </c>
      <c r="Y48" s="8" t="inlineStr">
        <is>
          <t>yes</t>
        </is>
      </c>
    </row>
    <row r="49">
      <c r="A49" s="8" t="inlineStr">
        <is>
          <t>Auricularia_Polytricha_OE21-4-F7POS.mzML</t>
        </is>
      </c>
      <c r="B49" s="8" t="inlineStr">
        <is>
          <t>OE21-4-F7POS</t>
        </is>
      </c>
      <c r="C49" s="8" t="inlineStr">
        <is>
          <t>batch_02_OE21-4-POS</t>
        </is>
      </c>
      <c r="D49" s="8" t="inlineStr">
        <is>
          <t>Fungi</t>
        </is>
      </c>
      <c r="E49" s="8" t="inlineStr">
        <is>
          <t>Basidiomycota</t>
        </is>
      </c>
      <c r="F49" s="8" t="n">
        <v>5204</v>
      </c>
      <c r="G49" s="8" t="inlineStr">
        <is>
          <t>core_candidate</t>
        </is>
      </c>
      <c r="H49" s="8" t="inlineStr">
        <is>
          <t>Fungi</t>
        </is>
      </c>
      <c r="I49" s="8" t="inlineStr">
        <is>
          <t>Basidiomycota</t>
        </is>
      </c>
      <c r="J49" s="8" t="n"/>
      <c r="K49" s="8" t="inlineStr">
        <is>
          <t>Agaricomycetes</t>
        </is>
      </c>
      <c r="L49" s="8" t="inlineStr">
        <is>
          <t>Auriculariales</t>
        </is>
      </c>
      <c r="M49" s="8" t="inlineStr">
        <is>
          <t>Auriculariaceae</t>
        </is>
      </c>
      <c r="N49" s="8" t="inlineStr">
        <is>
          <t>Auricularia</t>
        </is>
      </c>
      <c r="O49" s="8" t="inlineStr">
        <is>
          <t>Auricularia nigricans</t>
        </is>
      </c>
      <c r="P49" s="8" t="n">
        <v>1331584</v>
      </c>
      <c r="Q49" s="8" t="inlineStr">
        <is>
          <t>adl</t>
        </is>
      </c>
      <c r="R49" s="8" t="n">
        <v>4799.31</v>
      </c>
      <c r="S49" s="8" t="inlineStr">
        <is>
          <t>N/A - fruiting body</t>
        </is>
      </c>
      <c r="T49" s="8" t="n"/>
      <c r="U49" s="8" t="n"/>
      <c r="V49" s="8" t="n"/>
      <c r="W49" s="8" t="inlineStr">
        <is>
          <t>ncbi-phylum-2026-08-04-v1</t>
        </is>
      </c>
      <c r="X49" s="8" t="inlineStr">
        <is>
          <t>submitted table</t>
        </is>
      </c>
      <c r="Y49" s="8" t="inlineStr">
        <is>
          <t>yes</t>
        </is>
      </c>
    </row>
    <row r="50">
      <c r="A50" s="8" t="inlineStr">
        <is>
          <t>Hericium_Sp_OE21-4-F8POS.mzML</t>
        </is>
      </c>
      <c r="B50" s="8" t="inlineStr">
        <is>
          <t>OE21-4-F8POS</t>
        </is>
      </c>
      <c r="C50" s="8" t="inlineStr">
        <is>
          <t>batch_02_OE21-4-POS</t>
        </is>
      </c>
      <c r="D50" s="8" t="inlineStr">
        <is>
          <t>Fungi</t>
        </is>
      </c>
      <c r="E50" s="8" t="inlineStr">
        <is>
          <t>Basidiomycota</t>
        </is>
      </c>
      <c r="F50" s="8" t="n">
        <v>5204</v>
      </c>
      <c r="G50" s="8" t="inlineStr">
        <is>
          <t>core_candidate</t>
        </is>
      </c>
      <c r="H50" s="8" t="inlineStr">
        <is>
          <t>Fungi</t>
        </is>
      </c>
      <c r="I50" s="8" t="inlineStr">
        <is>
          <t>Basidiomycota</t>
        </is>
      </c>
      <c r="J50" s="8" t="n"/>
      <c r="K50" s="8" t="inlineStr">
        <is>
          <t>Agaricomycetes</t>
        </is>
      </c>
      <c r="L50" s="8" t="inlineStr">
        <is>
          <t>Russulales</t>
        </is>
      </c>
      <c r="M50" s="8" t="inlineStr">
        <is>
          <t>Hericiaceae</t>
        </is>
      </c>
      <c r="N50" s="8" t="inlineStr">
        <is>
          <t>Hericium</t>
        </is>
      </c>
      <c r="O50" s="8" t="inlineStr">
        <is>
          <t>Hericium erinaceus</t>
        </is>
      </c>
      <c r="P50" s="8" t="n">
        <v>91752</v>
      </c>
      <c r="Q50" s="8" t="n"/>
      <c r="R50" s="8" t="n">
        <v>5884.1</v>
      </c>
      <c r="S50" s="8" t="inlineStr">
        <is>
          <t>N/A - fruiting body</t>
        </is>
      </c>
      <c r="T50" s="8" t="n"/>
      <c r="U50" s="8" t="n"/>
      <c r="V50" s="8" t="n"/>
      <c r="W50" s="8" t="inlineStr">
        <is>
          <t>ncbi-phylum-2026-08-04-v1</t>
        </is>
      </c>
      <c r="X50" s="8" t="inlineStr">
        <is>
          <t>submitted table</t>
        </is>
      </c>
      <c r="Y50" s="8" t="inlineStr">
        <is>
          <t>yes</t>
        </is>
      </c>
    </row>
    <row r="51">
      <c r="A51" s="8" t="inlineStr">
        <is>
          <t>Grifola_Frondosa_OE21-4-F9POS.mzML</t>
        </is>
      </c>
      <c r="B51" s="8" t="inlineStr">
        <is>
          <t>OE21-4-F9POS</t>
        </is>
      </c>
      <c r="C51" s="8" t="inlineStr">
        <is>
          <t>batch_02_OE21-4-POS</t>
        </is>
      </c>
      <c r="D51" s="8" t="inlineStr">
        <is>
          <t>Fungi</t>
        </is>
      </c>
      <c r="E51" s="8" t="inlineStr">
        <is>
          <t>Basidiomycota</t>
        </is>
      </c>
      <c r="F51" s="8" t="n">
        <v>5204</v>
      </c>
      <c r="G51" s="8" t="inlineStr">
        <is>
          <t>core_candidate</t>
        </is>
      </c>
      <c r="H51" s="8" t="inlineStr">
        <is>
          <t>Fungi</t>
        </is>
      </c>
      <c r="I51" s="8" t="inlineStr">
        <is>
          <t>Basidiomycota</t>
        </is>
      </c>
      <c r="J51" s="8" t="n"/>
      <c r="K51" s="8" t="inlineStr">
        <is>
          <t>Agaricomycetes</t>
        </is>
      </c>
      <c r="L51" s="8" t="inlineStr">
        <is>
          <t>Polyporales</t>
        </is>
      </c>
      <c r="M51" s="8" t="inlineStr">
        <is>
          <t>Grifolaceae</t>
        </is>
      </c>
      <c r="N51" s="8" t="inlineStr">
        <is>
          <t>Grifola</t>
        </is>
      </c>
      <c r="O51" s="8" t="inlineStr">
        <is>
          <t>Grifola Frondosa</t>
        </is>
      </c>
      <c r="P51" s="8" t="n">
        <v>5627</v>
      </c>
      <c r="Q51" s="8" t="n"/>
      <c r="R51" s="8" t="n">
        <v>4655.01</v>
      </c>
      <c r="S51" s="8" t="inlineStr">
        <is>
          <t>N/A - fruiting body</t>
        </is>
      </c>
      <c r="T51" s="8" t="n"/>
      <c r="U51" s="8" t="n"/>
      <c r="V51" s="8" t="n"/>
      <c r="W51" s="8" t="inlineStr">
        <is>
          <t>ncbi-phylum-2026-08-04-v1</t>
        </is>
      </c>
      <c r="X51" s="8" t="inlineStr">
        <is>
          <t>submitted table</t>
        </is>
      </c>
      <c r="Y51" s="8" t="inlineStr">
        <is>
          <t>yes</t>
        </is>
      </c>
    </row>
    <row r="52">
      <c r="A52" s="8" t="inlineStr">
        <is>
          <t>Tortella_Tortuosa_OE21-4-P1POS.mzML</t>
        </is>
      </c>
      <c r="B52" s="8" t="inlineStr">
        <is>
          <t>OE21-4-P1POS</t>
        </is>
      </c>
      <c r="C52" s="8" t="inlineStr">
        <is>
          <t>batch_02_OE21-4-POS</t>
        </is>
      </c>
      <c r="D52" s="8" t="inlineStr">
        <is>
          <t>Viridiplantae</t>
        </is>
      </c>
      <c r="E52" s="9" t="inlineStr">
        <is>
          <t>Streptophyta</t>
        </is>
      </c>
      <c r="F52" s="8" t="n">
        <v>35493</v>
      </c>
      <c r="G52" s="8" t="inlineStr">
        <is>
          <t>core_candidate</t>
        </is>
      </c>
      <c r="H52" s="8" t="inlineStr">
        <is>
          <t>Plantae</t>
        </is>
      </c>
      <c r="I52" s="8" t="inlineStr">
        <is>
          <t>Bryophyta</t>
        </is>
      </c>
      <c r="J52" s="8" t="inlineStr">
        <is>
          <t>yes</t>
        </is>
      </c>
      <c r="K52" s="8" t="inlineStr">
        <is>
          <t>Bryopsida</t>
        </is>
      </c>
      <c r="L52" s="8" t="inlineStr">
        <is>
          <t>Pottiales</t>
        </is>
      </c>
      <c r="M52" s="8" t="inlineStr">
        <is>
          <t>Pottiaceae</t>
        </is>
      </c>
      <c r="N52" s="8" t="inlineStr">
        <is>
          <t>Tortella</t>
        </is>
      </c>
      <c r="O52" s="8" t="inlineStr">
        <is>
          <t>Tortella Tortuosa</t>
        </is>
      </c>
      <c r="P52" s="8" t="n">
        <v>84646</v>
      </c>
      <c r="Q52" s="8" t="n"/>
      <c r="R52" s="8" t="n">
        <v>4969.34</v>
      </c>
      <c r="S52" s="8" t="inlineStr">
        <is>
          <t>N/A - field collected</t>
        </is>
      </c>
      <c r="T52" s="8" t="n"/>
      <c r="U52" s="8" t="n"/>
      <c r="V52" s="8" t="n"/>
      <c r="W52" s="8" t="inlineStr">
        <is>
          <t>ncbi-phylum-2026-08-04-v1</t>
        </is>
      </c>
      <c r="X52" s="8" t="inlineStr">
        <is>
          <t>submitted table</t>
        </is>
      </c>
      <c r="Y52" s="8" t="inlineStr">
        <is>
          <t>yes</t>
        </is>
      </c>
    </row>
    <row r="53">
      <c r="A53" s="8" t="inlineStr">
        <is>
          <t>Artichum_Undulatum_OE21-4-P2POS.mzML</t>
        </is>
      </c>
      <c r="B53" s="8" t="inlineStr">
        <is>
          <t>OE21-4-P2POS</t>
        </is>
      </c>
      <c r="C53" s="8" t="inlineStr">
        <is>
          <t>batch_02_OE21-4-POS</t>
        </is>
      </c>
      <c r="D53" s="8" t="inlineStr">
        <is>
          <t>Viridiplantae</t>
        </is>
      </c>
      <c r="E53" s="9" t="inlineStr">
        <is>
          <t>Streptophyta</t>
        </is>
      </c>
      <c r="F53" s="8" t="n">
        <v>35493</v>
      </c>
      <c r="G53" s="8" t="inlineStr">
        <is>
          <t>core_candidate</t>
        </is>
      </c>
      <c r="H53" s="8" t="inlineStr">
        <is>
          <t>Plantae</t>
        </is>
      </c>
      <c r="I53" s="8" t="inlineStr">
        <is>
          <t>Bryophyta</t>
        </is>
      </c>
      <c r="J53" s="8" t="inlineStr">
        <is>
          <t>yes</t>
        </is>
      </c>
      <c r="K53" s="8" t="inlineStr">
        <is>
          <t>Polytrichopsida</t>
        </is>
      </c>
      <c r="L53" s="8" t="inlineStr">
        <is>
          <t>Polytrichales</t>
        </is>
      </c>
      <c r="M53" s="8" t="inlineStr">
        <is>
          <t>Polytrichaceae</t>
        </is>
      </c>
      <c r="N53" s="8" t="inlineStr">
        <is>
          <t>Artichum</t>
        </is>
      </c>
      <c r="O53" s="8" t="inlineStr">
        <is>
          <t>Artichum Undulatum</t>
        </is>
      </c>
      <c r="P53" s="8" t="n">
        <v>38592</v>
      </c>
      <c r="Q53" s="8" t="n"/>
      <c r="R53" s="8" t="n">
        <v>4938.06</v>
      </c>
      <c r="S53" s="8" t="inlineStr">
        <is>
          <t>N/A - field collected</t>
        </is>
      </c>
      <c r="T53" s="8" t="n"/>
      <c r="U53" s="8" t="n"/>
      <c r="V53" s="8" t="n"/>
      <c r="W53" s="8" t="inlineStr">
        <is>
          <t>ncbi-phylum-2026-08-04-v1</t>
        </is>
      </c>
      <c r="X53" s="8" t="inlineStr">
        <is>
          <t>submitted table</t>
        </is>
      </c>
      <c r="Y53" s="8" t="inlineStr">
        <is>
          <t>yes</t>
        </is>
      </c>
    </row>
    <row r="54">
      <c r="A54" s="8" t="inlineStr">
        <is>
          <t>Hypnum_Cupressiforme_OE21-4-P4POS.mzML</t>
        </is>
      </c>
      <c r="B54" s="8" t="inlineStr">
        <is>
          <t>OE21-4-P4POS</t>
        </is>
      </c>
      <c r="C54" s="8" t="inlineStr">
        <is>
          <t>batch_02_OE21-4-POS</t>
        </is>
      </c>
      <c r="D54" s="8" t="inlineStr">
        <is>
          <t>Viridiplantae</t>
        </is>
      </c>
      <c r="E54" s="9" t="inlineStr">
        <is>
          <t>Streptophyta</t>
        </is>
      </c>
      <c r="F54" s="8" t="n">
        <v>35493</v>
      </c>
      <c r="G54" s="8" t="inlineStr">
        <is>
          <t>core_candidate</t>
        </is>
      </c>
      <c r="H54" s="8" t="inlineStr">
        <is>
          <t>Plantae</t>
        </is>
      </c>
      <c r="I54" s="8" t="inlineStr">
        <is>
          <t>Bryophyta</t>
        </is>
      </c>
      <c r="J54" s="8" t="inlineStr">
        <is>
          <t>yes</t>
        </is>
      </c>
      <c r="K54" s="8" t="inlineStr">
        <is>
          <t>Bryopsida</t>
        </is>
      </c>
      <c r="L54" s="8" t="inlineStr">
        <is>
          <t>Hypnales</t>
        </is>
      </c>
      <c r="M54" s="8" t="inlineStr">
        <is>
          <t>Hypnaceae</t>
        </is>
      </c>
      <c r="N54" s="8" t="inlineStr">
        <is>
          <t>Hypnum</t>
        </is>
      </c>
      <c r="O54" s="8" t="inlineStr">
        <is>
          <t>Hypnum cupressiforme</t>
        </is>
      </c>
      <c r="P54" s="8" t="n">
        <v>53011</v>
      </c>
      <c r="Q54" s="8" t="n"/>
      <c r="R54" s="8" t="n">
        <v>4589.57</v>
      </c>
      <c r="S54" s="8" t="inlineStr">
        <is>
          <t>N/A - field collected</t>
        </is>
      </c>
      <c r="T54" s="8" t="n"/>
      <c r="U54" s="8" t="n"/>
      <c r="V54" s="8" t="n"/>
      <c r="W54" s="8" t="inlineStr">
        <is>
          <t>ncbi-phylum-2026-08-04-v1</t>
        </is>
      </c>
      <c r="X54" s="8" t="inlineStr">
        <is>
          <t>submitted table</t>
        </is>
      </c>
      <c r="Y54" s="8" t="inlineStr">
        <is>
          <t>yes</t>
        </is>
      </c>
    </row>
    <row r="55">
      <c r="A55" s="8" t="inlineStr">
        <is>
          <t>Marchantia_Polymorpha_OE21-4-P5POS.mzML</t>
        </is>
      </c>
      <c r="B55" s="8" t="inlineStr">
        <is>
          <t>OE21-4-P5POS</t>
        </is>
      </c>
      <c r="C55" s="8" t="inlineStr">
        <is>
          <t>batch_02_OE21-4-POS</t>
        </is>
      </c>
      <c r="D55" s="8" t="inlineStr">
        <is>
          <t>Viridiplantae</t>
        </is>
      </c>
      <c r="E55" s="9" t="inlineStr">
        <is>
          <t>Streptophyta</t>
        </is>
      </c>
      <c r="F55" s="8" t="n">
        <v>35493</v>
      </c>
      <c r="G55" s="8" t="inlineStr">
        <is>
          <t>core_candidate</t>
        </is>
      </c>
      <c r="H55" s="8" t="inlineStr">
        <is>
          <t>Plantae</t>
        </is>
      </c>
      <c r="I55" s="8" t="inlineStr">
        <is>
          <t>Marchantiophyta</t>
        </is>
      </c>
      <c r="J55" s="8" t="inlineStr">
        <is>
          <t>yes</t>
        </is>
      </c>
      <c r="K55" s="8" t="inlineStr">
        <is>
          <t>Marchantiopsida</t>
        </is>
      </c>
      <c r="L55" s="8" t="inlineStr">
        <is>
          <t>Marchantiales</t>
        </is>
      </c>
      <c r="M55" s="8" t="inlineStr">
        <is>
          <t>Marchantiaceae</t>
        </is>
      </c>
      <c r="N55" s="8" t="inlineStr">
        <is>
          <t>Marchantia</t>
        </is>
      </c>
      <c r="O55" s="8" t="inlineStr">
        <is>
          <t>Marchantia polymorpha</t>
        </is>
      </c>
      <c r="P55" s="8" t="n">
        <v>3197</v>
      </c>
      <c r="Q55" s="8" t="n"/>
      <c r="R55" s="8" t="n">
        <v>4646.78</v>
      </c>
      <c r="S55" s="8" t="inlineStr">
        <is>
          <t>N/A - field collected</t>
        </is>
      </c>
      <c r="T55" s="8" t="n"/>
      <c r="U55" s="8" t="n"/>
      <c r="V55" s="8" t="n"/>
      <c r="W55" s="8" t="inlineStr">
        <is>
          <t>ncbi-phylum-2026-08-04-v1</t>
        </is>
      </c>
      <c r="X55" s="8" t="inlineStr">
        <is>
          <t>submitted table</t>
        </is>
      </c>
      <c r="Y55" s="8" t="inlineStr">
        <is>
          <t>yes</t>
        </is>
      </c>
    </row>
    <row r="56">
      <c r="A56" s="8" t="inlineStr">
        <is>
          <t>Bazzania_Trilobata_OE21-4-P6POS.mzML</t>
        </is>
      </c>
      <c r="B56" s="8" t="inlineStr">
        <is>
          <t>OE21-4-P6POS</t>
        </is>
      </c>
      <c r="C56" s="8" t="inlineStr">
        <is>
          <t>batch_02_OE21-4-POS</t>
        </is>
      </c>
      <c r="D56" s="8" t="inlineStr">
        <is>
          <t>Viridiplantae</t>
        </is>
      </c>
      <c r="E56" s="9" t="inlineStr">
        <is>
          <t>Streptophyta</t>
        </is>
      </c>
      <c r="F56" s="8" t="n">
        <v>35493</v>
      </c>
      <c r="G56" s="8" t="inlineStr">
        <is>
          <t>core_candidate</t>
        </is>
      </c>
      <c r="H56" s="8" t="inlineStr">
        <is>
          <t>Plantae</t>
        </is>
      </c>
      <c r="I56" s="8" t="inlineStr">
        <is>
          <t>Marchantiophyta</t>
        </is>
      </c>
      <c r="J56" s="8" t="inlineStr">
        <is>
          <t>yes</t>
        </is>
      </c>
      <c r="K56" s="8" t="inlineStr">
        <is>
          <t>Jungermanniopsida</t>
        </is>
      </c>
      <c r="L56" s="8" t="inlineStr">
        <is>
          <t>Lepidoziales</t>
        </is>
      </c>
      <c r="M56" s="8" t="inlineStr">
        <is>
          <t>Lepidoziaceae</t>
        </is>
      </c>
      <c r="N56" s="8" t="inlineStr">
        <is>
          <t>Bazzania</t>
        </is>
      </c>
      <c r="O56" s="8" t="inlineStr">
        <is>
          <t>Bazzania trilobata</t>
        </is>
      </c>
      <c r="P56" s="8" t="n">
        <v>13808</v>
      </c>
      <c r="Q56" s="8" t="n"/>
      <c r="R56" s="8" t="n">
        <v>5136.57</v>
      </c>
      <c r="S56" s="8" t="inlineStr">
        <is>
          <t>N/A - field collected</t>
        </is>
      </c>
      <c r="T56" s="8" t="n"/>
      <c r="U56" s="8" t="n"/>
      <c r="V56" s="8" t="n"/>
      <c r="W56" s="8" t="inlineStr">
        <is>
          <t>ncbi-phylum-2026-08-04-v1</t>
        </is>
      </c>
      <c r="X56" s="8" t="inlineStr">
        <is>
          <t>submitted table</t>
        </is>
      </c>
      <c r="Y56" s="8" t="inlineStr">
        <is>
          <t>yes</t>
        </is>
      </c>
    </row>
    <row r="57">
      <c r="A57" s="8" t="inlineStr">
        <is>
          <t>Sphagnum_Magellanicum_OE21-4-P7POS.mzML</t>
        </is>
      </c>
      <c r="B57" s="8" t="inlineStr">
        <is>
          <t>OE21-4-P7POS</t>
        </is>
      </c>
      <c r="C57" s="8" t="inlineStr">
        <is>
          <t>batch_02_OE21-4-POS</t>
        </is>
      </c>
      <c r="D57" s="8" t="inlineStr">
        <is>
          <t>Viridiplantae</t>
        </is>
      </c>
      <c r="E57" s="9" t="inlineStr">
        <is>
          <t>Streptophyta</t>
        </is>
      </c>
      <c r="F57" s="8" t="n">
        <v>35493</v>
      </c>
      <c r="G57" s="8" t="inlineStr">
        <is>
          <t>core_candidate</t>
        </is>
      </c>
      <c r="H57" s="8" t="inlineStr">
        <is>
          <t>Plantae</t>
        </is>
      </c>
      <c r="I57" s="8" t="inlineStr">
        <is>
          <t>Bryophyta</t>
        </is>
      </c>
      <c r="J57" s="8" t="inlineStr">
        <is>
          <t>yes</t>
        </is>
      </c>
      <c r="K57" s="8" t="inlineStr">
        <is>
          <t>Sphagnopsida</t>
        </is>
      </c>
      <c r="L57" s="8" t="inlineStr">
        <is>
          <t>Sphagnales</t>
        </is>
      </c>
      <c r="M57" s="8" t="inlineStr">
        <is>
          <t>Sphagnaceae</t>
        </is>
      </c>
      <c r="N57" s="8" t="inlineStr">
        <is>
          <t>Sphagnum</t>
        </is>
      </c>
      <c r="O57" s="8" t="inlineStr">
        <is>
          <t>Sphagnum magellanicum</t>
        </is>
      </c>
      <c r="P57" s="8" t="n">
        <v>128215</v>
      </c>
      <c r="Q57" s="8" t="n"/>
      <c r="R57" s="8" t="n">
        <v>4902.12</v>
      </c>
      <c r="S57" s="8" t="inlineStr">
        <is>
          <t>N/A - field collected</t>
        </is>
      </c>
      <c r="T57" s="8" t="n"/>
      <c r="U57" s="8" t="n"/>
      <c r="V57" s="8" t="n"/>
      <c r="W57" s="8" t="inlineStr">
        <is>
          <t>ncbi-phylum-2026-08-04-v1</t>
        </is>
      </c>
      <c r="X57" s="8" t="inlineStr">
        <is>
          <t>submitted table</t>
        </is>
      </c>
      <c r="Y57" s="8" t="inlineStr">
        <is>
          <t>yes</t>
        </is>
      </c>
    </row>
    <row r="58">
      <c r="A58" s="8" t="inlineStr">
        <is>
          <t>Metzgeria_Conjugata_OE21-4-P9POS.mzML</t>
        </is>
      </c>
      <c r="B58" s="8" t="inlineStr">
        <is>
          <t>OE21-4-P9POS</t>
        </is>
      </c>
      <c r="C58" s="8" t="inlineStr">
        <is>
          <t>batch_02_OE21-4-POS</t>
        </is>
      </c>
      <c r="D58" s="8" t="inlineStr">
        <is>
          <t>Viridiplantae</t>
        </is>
      </c>
      <c r="E58" s="9" t="inlineStr">
        <is>
          <t>Streptophyta</t>
        </is>
      </c>
      <c r="F58" s="8" t="n">
        <v>35493</v>
      </c>
      <c r="G58" s="8" t="inlineStr">
        <is>
          <t>core_candidate</t>
        </is>
      </c>
      <c r="H58" s="8" t="inlineStr">
        <is>
          <t>Plantae</t>
        </is>
      </c>
      <c r="I58" s="8" t="inlineStr">
        <is>
          <t>Marchantiophyta</t>
        </is>
      </c>
      <c r="J58" s="8" t="inlineStr">
        <is>
          <t>yes</t>
        </is>
      </c>
      <c r="K58" s="8" t="inlineStr">
        <is>
          <t>Jungermanniopsida</t>
        </is>
      </c>
      <c r="L58" s="8" t="inlineStr">
        <is>
          <t>Metzgeriales</t>
        </is>
      </c>
      <c r="M58" s="8" t="inlineStr">
        <is>
          <t>Metygeriaceae</t>
        </is>
      </c>
      <c r="N58" s="8" t="inlineStr">
        <is>
          <t>Metzgeria</t>
        </is>
      </c>
      <c r="O58" s="8" t="inlineStr">
        <is>
          <t>Metzgeria conjugata</t>
        </is>
      </c>
      <c r="P58" s="8" t="n">
        <v>152249</v>
      </c>
      <c r="Q58" s="8" t="n"/>
      <c r="R58" s="8" t="n">
        <v>4903.32</v>
      </c>
      <c r="S58" s="8" t="inlineStr">
        <is>
          <t>N/A - field collected</t>
        </is>
      </c>
      <c r="T58" s="8" t="n"/>
      <c r="U58" s="8" t="n"/>
      <c r="V58" s="8" t="n"/>
      <c r="W58" s="8" t="inlineStr">
        <is>
          <t>ncbi-phylum-2026-08-04-v1</t>
        </is>
      </c>
      <c r="X58" s="8" t="inlineStr">
        <is>
          <t>submitted table</t>
        </is>
      </c>
      <c r="Y58" s="8" t="inlineStr">
        <is>
          <t>yes</t>
        </is>
      </c>
    </row>
    <row r="59">
      <c r="A59" s="8" t="inlineStr">
        <is>
          <t>Armadillidium_vulgare_I5POS_20240925024318.mzML</t>
        </is>
      </c>
      <c r="B59" s="8" t="inlineStr">
        <is>
          <t>I5POS_20240925024318</t>
        </is>
      </c>
      <c r="C59" s="8" t="inlineStr">
        <is>
          <t>batch_03_OE23-POS</t>
        </is>
      </c>
      <c r="D59" s="8" t="inlineStr">
        <is>
          <t>Animalia</t>
        </is>
      </c>
      <c r="E59" s="8" t="inlineStr">
        <is>
          <t>Arthropoda</t>
        </is>
      </c>
      <c r="F59" s="8" t="n">
        <v>6656</v>
      </c>
      <c r="G59" s="8" t="inlineStr">
        <is>
          <t>core_candidate</t>
        </is>
      </c>
      <c r="H59" s="8" t="inlineStr">
        <is>
          <t>Animalia</t>
        </is>
      </c>
      <c r="I59" s="8" t="inlineStr">
        <is>
          <t>Arthropoda</t>
        </is>
      </c>
      <c r="J59" s="8" t="n"/>
      <c r="K59" s="8" t="inlineStr">
        <is>
          <t>Malacostraca</t>
        </is>
      </c>
      <c r="L59" s="8" t="inlineStr">
        <is>
          <t>Isopoda</t>
        </is>
      </c>
      <c r="M59" s="8" t="inlineStr">
        <is>
          <t>Armadillidiidae</t>
        </is>
      </c>
      <c r="N59" s="8" t="inlineStr">
        <is>
          <t>Armadillidium</t>
        </is>
      </c>
      <c r="O59" s="8" t="inlineStr">
        <is>
          <t>Armadillidium vulgare</t>
        </is>
      </c>
      <c r="P59" s="8" t="n">
        <v>96821</v>
      </c>
      <c r="Q59" s="8" t="n"/>
      <c r="R59" s="8" t="n">
        <v>4953.16</v>
      </c>
      <c r="S59" s="8" t="inlineStr">
        <is>
          <t>N/A - field collected</t>
        </is>
      </c>
      <c r="T59" s="8" t="n"/>
      <c r="U59" s="8" t="n"/>
      <c r="V59" s="8" t="n"/>
      <c r="W59" s="8" t="inlineStr">
        <is>
          <t>ncbi-phylum-2026-08-04-v1</t>
        </is>
      </c>
      <c r="X59" s="8" t="inlineStr">
        <is>
          <t>submitted table</t>
        </is>
      </c>
      <c r="Y59" s="8" t="inlineStr">
        <is>
          <t>yes</t>
        </is>
      </c>
    </row>
    <row r="60">
      <c r="A60" s="8" t="inlineStr">
        <is>
          <t>Pomatias_elegans_I8POS.mzML</t>
        </is>
      </c>
      <c r="B60" s="8" t="inlineStr">
        <is>
          <t>I8POS</t>
        </is>
      </c>
      <c r="C60" s="8" t="inlineStr">
        <is>
          <t>batch_03_OE23-POS</t>
        </is>
      </c>
      <c r="D60" s="8" t="inlineStr">
        <is>
          <t>Animalia</t>
        </is>
      </c>
      <c r="E60" s="8" t="inlineStr">
        <is>
          <t>Mollusca</t>
        </is>
      </c>
      <c r="F60" s="8" t="n">
        <v>6447</v>
      </c>
      <c r="G60" s="8" t="inlineStr">
        <is>
          <t>core_candidate</t>
        </is>
      </c>
      <c r="H60" s="8" t="inlineStr">
        <is>
          <t>Animalia</t>
        </is>
      </c>
      <c r="I60" s="8" t="inlineStr">
        <is>
          <t>Mollusca</t>
        </is>
      </c>
      <c r="J60" s="8" t="n"/>
      <c r="K60" s="8" t="inlineStr">
        <is>
          <t>Gastropoda</t>
        </is>
      </c>
      <c r="L60" s="8" t="inlineStr">
        <is>
          <t>Littorinimorpha</t>
        </is>
      </c>
      <c r="M60" s="8" t="inlineStr">
        <is>
          <t>Pomatiidae</t>
        </is>
      </c>
      <c r="N60" s="8" t="inlineStr">
        <is>
          <t>Pomatias</t>
        </is>
      </c>
      <c r="O60" s="8" t="inlineStr">
        <is>
          <t>Pomatias elegans</t>
        </is>
      </c>
      <c r="P60" s="8" t="n">
        <v>145640</v>
      </c>
      <c r="Q60" s="8" t="n"/>
      <c r="R60" s="8" t="n">
        <v>5093.5</v>
      </c>
      <c r="S60" s="8" t="inlineStr">
        <is>
          <t>N/A - field collected</t>
        </is>
      </c>
      <c r="T60" s="8" t="n"/>
      <c r="U60" s="8" t="n"/>
      <c r="V60" s="8" t="n"/>
      <c r="W60" s="8" t="inlineStr">
        <is>
          <t>ncbi-phylum-2026-08-04-v1</t>
        </is>
      </c>
      <c r="X60" s="8" t="inlineStr">
        <is>
          <t>submitted table</t>
        </is>
      </c>
      <c r="Y60" s="8" t="inlineStr">
        <is>
          <t>yes</t>
        </is>
      </c>
    </row>
    <row r="61">
      <c r="A61" s="8" t="inlineStr">
        <is>
          <t>Pomatias_elegans_I8POS_20240925010944.mzML</t>
        </is>
      </c>
      <c r="B61" s="8" t="inlineStr">
        <is>
          <t>I8POS_20240925010944</t>
        </is>
      </c>
      <c r="C61" s="8" t="inlineStr">
        <is>
          <t>batch_03_OE23-POS</t>
        </is>
      </c>
      <c r="D61" s="8" t="inlineStr">
        <is>
          <t>Animalia</t>
        </is>
      </c>
      <c r="E61" s="8" t="inlineStr">
        <is>
          <t>Mollusca</t>
        </is>
      </c>
      <c r="F61" s="8" t="n">
        <v>6447</v>
      </c>
      <c r="G61" s="8" t="inlineStr">
        <is>
          <t>core_candidate</t>
        </is>
      </c>
      <c r="H61" s="8" t="inlineStr">
        <is>
          <t>Animalia</t>
        </is>
      </c>
      <c r="I61" s="8" t="inlineStr">
        <is>
          <t>Mollusca</t>
        </is>
      </c>
      <c r="J61" s="8" t="n"/>
      <c r="K61" s="8" t="inlineStr">
        <is>
          <t>Gastropoda</t>
        </is>
      </c>
      <c r="L61" s="8" t="inlineStr">
        <is>
          <t>Littorinimorpha</t>
        </is>
      </c>
      <c r="M61" s="8" t="inlineStr">
        <is>
          <t>Pomatiidae</t>
        </is>
      </c>
      <c r="N61" s="8" t="inlineStr">
        <is>
          <t>Pomatias</t>
        </is>
      </c>
      <c r="O61" s="8" t="inlineStr">
        <is>
          <t>Pomatias elegans</t>
        </is>
      </c>
      <c r="P61" s="8" t="n">
        <v>145640</v>
      </c>
      <c r="Q61" s="8" t="n"/>
      <c r="R61" s="8" t="n">
        <v>5093.5</v>
      </c>
      <c r="S61" s="8" t="inlineStr">
        <is>
          <t>N/A - field collected</t>
        </is>
      </c>
      <c r="T61" s="8" t="n"/>
      <c r="U61" s="8" t="n"/>
      <c r="V61" s="8" t="n"/>
      <c r="W61" s="8" t="inlineStr">
        <is>
          <t>ncbi-phylum-2026-08-04-v1</t>
        </is>
      </c>
      <c r="X61" s="8" t="inlineStr">
        <is>
          <t>submitted table</t>
        </is>
      </c>
      <c r="Y61" s="8" t="inlineStr">
        <is>
          <t>yes</t>
        </is>
      </c>
    </row>
    <row r="62">
      <c r="A62" s="8" t="inlineStr">
        <is>
          <t>Glomeris_marginota_I9POS.mzML</t>
        </is>
      </c>
      <c r="B62" s="8" t="inlineStr">
        <is>
          <t>I9POS</t>
        </is>
      </c>
      <c r="C62" s="8" t="inlineStr">
        <is>
          <t>batch_03_OE23-POS</t>
        </is>
      </c>
      <c r="D62" s="8" t="inlineStr">
        <is>
          <t>Animalia</t>
        </is>
      </c>
      <c r="E62" s="8" t="inlineStr">
        <is>
          <t>Arthropoda</t>
        </is>
      </c>
      <c r="F62" s="8" t="n">
        <v>6656</v>
      </c>
      <c r="G62" s="8" t="inlineStr">
        <is>
          <t>core_candidate</t>
        </is>
      </c>
      <c r="H62" s="8" t="inlineStr">
        <is>
          <t>Animalia</t>
        </is>
      </c>
      <c r="I62" s="8" t="inlineStr">
        <is>
          <t>Arthropoda</t>
        </is>
      </c>
      <c r="J62" s="8" t="n"/>
      <c r="K62" s="8" t="inlineStr">
        <is>
          <t>Diplopoda</t>
        </is>
      </c>
      <c r="L62" s="8" t="inlineStr">
        <is>
          <t>Glomerida</t>
        </is>
      </c>
      <c r="M62" s="8" t="inlineStr">
        <is>
          <t>Glomeridae</t>
        </is>
      </c>
      <c r="N62" s="8" t="inlineStr">
        <is>
          <t>Glomeris</t>
        </is>
      </c>
      <c r="O62" s="8" t="inlineStr">
        <is>
          <t>Glomeris marginata</t>
        </is>
      </c>
      <c r="P62" s="8" t="n">
        <v>62006</v>
      </c>
      <c r="Q62" s="8" t="n"/>
      <c r="R62" s="8" t="n">
        <v>4912.99</v>
      </c>
      <c r="S62" s="8" t="inlineStr">
        <is>
          <t>N/A - field collected</t>
        </is>
      </c>
      <c r="T62" s="8" t="n"/>
      <c r="U62" s="8" t="n"/>
      <c r="V62" s="8" t="n"/>
      <c r="W62" s="8" t="inlineStr">
        <is>
          <t>ncbi-phylum-2026-08-04-v1</t>
        </is>
      </c>
      <c r="X62" s="8" t="inlineStr">
        <is>
          <t>submitted table</t>
        </is>
      </c>
      <c r="Y62" s="8" t="inlineStr">
        <is>
          <t>yes</t>
        </is>
      </c>
    </row>
    <row r="63">
      <c r="A63" s="8" t="inlineStr">
        <is>
          <t>Acrogalumna_longipluma_Lu03POS_20240924172144.mzML</t>
        </is>
      </c>
      <c r="B63" s="8" t="inlineStr">
        <is>
          <t>LU03POS_20240924172144</t>
        </is>
      </c>
      <c r="C63" s="8" t="inlineStr">
        <is>
          <t>batch_03_OE23-POS</t>
        </is>
      </c>
      <c r="D63" s="8" t="inlineStr">
        <is>
          <t>Animalia</t>
        </is>
      </c>
      <c r="E63" s="8" t="inlineStr">
        <is>
          <t>Arthropoda</t>
        </is>
      </c>
      <c r="F63" s="8" t="n">
        <v>6656</v>
      </c>
      <c r="G63" s="8" t="inlineStr">
        <is>
          <t>core_candidate</t>
        </is>
      </c>
      <c r="H63" s="8" t="inlineStr">
        <is>
          <t>Animalia</t>
        </is>
      </c>
      <c r="I63" s="8" t="inlineStr">
        <is>
          <t>Arthropoda</t>
        </is>
      </c>
      <c r="J63" s="8" t="n"/>
      <c r="K63" s="8" t="inlineStr">
        <is>
          <t>arachnida</t>
        </is>
      </c>
      <c r="L63" s="8" t="inlineStr">
        <is>
          <t>Sarcoptiformes</t>
        </is>
      </c>
      <c r="M63" s="8" t="inlineStr">
        <is>
          <t>Galumnidae</t>
        </is>
      </c>
      <c r="N63" s="8" t="inlineStr">
        <is>
          <t>Allogalumna</t>
        </is>
      </c>
      <c r="O63" s="8" t="inlineStr">
        <is>
          <t>Allogalumna longipluma</t>
        </is>
      </c>
      <c r="P63" s="8" t="n">
        <v>708378</v>
      </c>
      <c r="Q63" s="8" t="n"/>
      <c r="R63" s="8" t="n">
        <v>4280.44</v>
      </c>
      <c r="S63" s="8" t="inlineStr">
        <is>
          <t>Yeast</t>
        </is>
      </c>
      <c r="T63" s="8" t="n"/>
      <c r="U63" s="8" t="n"/>
      <c r="V63" s="8" t="n"/>
      <c r="W63" s="8" t="inlineStr">
        <is>
          <t>ncbi-phylum-2026-08-04-v1</t>
        </is>
      </c>
      <c r="X63" s="8" t="inlineStr">
        <is>
          <t>submitted table</t>
        </is>
      </c>
      <c r="Y63" s="8" t="inlineStr">
        <is>
          <t>yes</t>
        </is>
      </c>
    </row>
    <row r="64">
      <c r="A64" s="8" t="inlineStr">
        <is>
          <t>Heteromurus_nitidus_Lu04POS_20240924110720.mzML</t>
        </is>
      </c>
      <c r="B64" s="8" t="inlineStr">
        <is>
          <t>LU04POS_20240924110720</t>
        </is>
      </c>
      <c r="C64" s="8" t="inlineStr">
        <is>
          <t>batch_03_OE23-POS</t>
        </is>
      </c>
      <c r="D64" s="8" t="inlineStr">
        <is>
          <t>Animalia</t>
        </is>
      </c>
      <c r="E64" s="8" t="inlineStr">
        <is>
          <t>Arthropoda</t>
        </is>
      </c>
      <c r="F64" s="8" t="n">
        <v>6656</v>
      </c>
      <c r="G64" s="8" t="inlineStr">
        <is>
          <t>core_candidate</t>
        </is>
      </c>
      <c r="H64" s="8" t="inlineStr">
        <is>
          <t>Animalia</t>
        </is>
      </c>
      <c r="I64" s="8" t="inlineStr">
        <is>
          <t>Arthropoda</t>
        </is>
      </c>
      <c r="J64" s="8" t="n"/>
      <c r="K64" s="8" t="inlineStr">
        <is>
          <t>Collembola</t>
        </is>
      </c>
      <c r="L64" s="8" t="inlineStr">
        <is>
          <t>Entomobryomorpha</t>
        </is>
      </c>
      <c r="M64" s="8" t="inlineStr">
        <is>
          <t>Orchesellidae</t>
        </is>
      </c>
      <c r="N64" s="8" t="inlineStr">
        <is>
          <t>Heteromurus</t>
        </is>
      </c>
      <c r="O64" s="8" t="inlineStr">
        <is>
          <t>Heteromurus nitidus</t>
        </is>
      </c>
      <c r="P64" s="8" t="n">
        <v>254095</v>
      </c>
      <c r="Q64" s="8" t="n"/>
      <c r="R64" s="8" t="n">
        <v>5207.98</v>
      </c>
      <c r="S64" s="8" t="inlineStr">
        <is>
          <t>Yeast</t>
        </is>
      </c>
      <c r="T64" s="8" t="n"/>
      <c r="U64" s="8" t="n"/>
      <c r="V64" s="8" t="n"/>
      <c r="W64" s="8" t="inlineStr">
        <is>
          <t>ncbi-phylum-2026-08-04-v1</t>
        </is>
      </c>
      <c r="X64" s="8" t="inlineStr">
        <is>
          <t>submitted table</t>
        </is>
      </c>
      <c r="Y64" s="8" t="inlineStr">
        <is>
          <t>yes</t>
        </is>
      </c>
    </row>
    <row r="65">
      <c r="A65" s="8" t="inlineStr">
        <is>
          <t>Sinella_curviseta_Lu05POS.mzML</t>
        </is>
      </c>
      <c r="B65" s="8" t="inlineStr">
        <is>
          <t>LU05POS</t>
        </is>
      </c>
      <c r="C65" s="8" t="inlineStr">
        <is>
          <t>batch_03_OE23-POS</t>
        </is>
      </c>
      <c r="D65" s="8" t="inlineStr">
        <is>
          <t>Animalia</t>
        </is>
      </c>
      <c r="E65" s="8" t="inlineStr">
        <is>
          <t>Arthropoda</t>
        </is>
      </c>
      <c r="F65" s="8" t="n">
        <v>6656</v>
      </c>
      <c r="G65" s="8" t="inlineStr">
        <is>
          <t>core_candidate</t>
        </is>
      </c>
      <c r="H65" s="8" t="inlineStr">
        <is>
          <t>Animalia</t>
        </is>
      </c>
      <c r="I65" s="8" t="inlineStr">
        <is>
          <t>Arthropoda</t>
        </is>
      </c>
      <c r="J65" s="8" t="n"/>
      <c r="K65" s="8" t="inlineStr">
        <is>
          <t>Collembola</t>
        </is>
      </c>
      <c r="L65" s="8" t="inlineStr">
        <is>
          <t>Entomobryomorpha</t>
        </is>
      </c>
      <c r="M65" s="8" t="inlineStr">
        <is>
          <t>Entomobryidae</t>
        </is>
      </c>
      <c r="N65" s="8" t="inlineStr">
        <is>
          <t>Sinella</t>
        </is>
      </c>
      <c r="O65" s="8" t="inlineStr">
        <is>
          <t>Sinella curviseta</t>
        </is>
      </c>
      <c r="P65" s="8" t="n">
        <v>187695</v>
      </c>
      <c r="Q65" s="8" t="n"/>
      <c r="R65" s="8" t="n">
        <v>4774.5</v>
      </c>
      <c r="S65" s="8" t="inlineStr">
        <is>
          <t>Yeast</t>
        </is>
      </c>
      <c r="T65" s="8" t="n"/>
      <c r="U65" s="8" t="n"/>
      <c r="V65" s="8" t="n"/>
      <c r="W65" s="8" t="inlineStr">
        <is>
          <t>ncbi-phylum-2026-08-04-v1</t>
        </is>
      </c>
      <c r="X65" s="8" t="inlineStr">
        <is>
          <t>submitted table</t>
        </is>
      </c>
      <c r="Y65" s="8" t="inlineStr">
        <is>
          <t>yes</t>
        </is>
      </c>
    </row>
    <row r="66">
      <c r="A66" s="8" t="inlineStr">
        <is>
          <t>Protaphorura_fimata_Lu07POS_20240924182408.mzML</t>
        </is>
      </c>
      <c r="B66" s="8" t="inlineStr">
        <is>
          <t>LU07POS_20240924182408</t>
        </is>
      </c>
      <c r="C66" s="8" t="inlineStr">
        <is>
          <t>batch_03_OE23-POS</t>
        </is>
      </c>
      <c r="D66" s="8" t="inlineStr">
        <is>
          <t>Animalia</t>
        </is>
      </c>
      <c r="E66" s="8" t="inlineStr">
        <is>
          <t>Arthropoda</t>
        </is>
      </c>
      <c r="F66" s="8" t="n">
        <v>6656</v>
      </c>
      <c r="G66" s="8" t="inlineStr">
        <is>
          <t>core_candidate</t>
        </is>
      </c>
      <c r="H66" s="8" t="inlineStr">
        <is>
          <t>Animalia</t>
        </is>
      </c>
      <c r="I66" s="8" t="inlineStr">
        <is>
          <t>Arthropoda</t>
        </is>
      </c>
      <c r="J66" s="8" t="n"/>
      <c r="K66" s="8" t="inlineStr">
        <is>
          <t>Collembola</t>
        </is>
      </c>
      <c r="L66" s="8" t="inlineStr">
        <is>
          <t>Poduromorpha</t>
        </is>
      </c>
      <c r="M66" s="8" t="inlineStr">
        <is>
          <t>Onychiuridae</t>
        </is>
      </c>
      <c r="N66" s="8" t="inlineStr">
        <is>
          <t>Protaphorura</t>
        </is>
      </c>
      <c r="O66" s="8" t="inlineStr">
        <is>
          <t>Protaphorura fimata</t>
        </is>
      </c>
      <c r="P66" s="8" t="n">
        <v>1519113</v>
      </c>
      <c r="Q66" s="8" t="n"/>
      <c r="R66" s="8" t="n">
        <v>5109.97</v>
      </c>
      <c r="S66" s="8" t="inlineStr">
        <is>
          <t>Yeast</t>
        </is>
      </c>
      <c r="T66" s="8" t="n"/>
      <c r="U66" s="8" t="n"/>
      <c r="V66" s="8" t="n"/>
      <c r="W66" s="8" t="inlineStr">
        <is>
          <t>ncbi-phylum-2026-08-04-v1</t>
        </is>
      </c>
      <c r="X66" s="8" t="inlineStr">
        <is>
          <t>submitted table</t>
        </is>
      </c>
      <c r="Y66" s="8" t="inlineStr">
        <is>
          <t>yes</t>
        </is>
      </c>
    </row>
    <row r="67">
      <c r="A67" s="8" t="inlineStr">
        <is>
          <t>Sinella_curviseta_Lu08POS.mzML</t>
        </is>
      </c>
      <c r="B67" s="8" t="inlineStr">
        <is>
          <t>LU08POS</t>
        </is>
      </c>
      <c r="C67" s="8" t="inlineStr">
        <is>
          <t>batch_03_OE23-POS</t>
        </is>
      </c>
      <c r="D67" s="8" t="inlineStr">
        <is>
          <t>Animalia</t>
        </is>
      </c>
      <c r="E67" s="8" t="inlineStr">
        <is>
          <t>Arthropoda</t>
        </is>
      </c>
      <c r="F67" s="8" t="n">
        <v>6656</v>
      </c>
      <c r="G67" s="8" t="inlineStr">
        <is>
          <t>core_candidate</t>
        </is>
      </c>
      <c r="H67" s="8" t="inlineStr">
        <is>
          <t>Animalia</t>
        </is>
      </c>
      <c r="I67" s="8" t="inlineStr">
        <is>
          <t>Arthropoda</t>
        </is>
      </c>
      <c r="J67" s="8" t="n"/>
      <c r="K67" s="8" t="inlineStr">
        <is>
          <t>Collembola</t>
        </is>
      </c>
      <c r="L67" s="8" t="inlineStr">
        <is>
          <t>Entomobryomorpha</t>
        </is>
      </c>
      <c r="M67" s="8" t="inlineStr">
        <is>
          <t>Entomobryidae</t>
        </is>
      </c>
      <c r="N67" s="8" t="inlineStr">
        <is>
          <t>Sinella</t>
        </is>
      </c>
      <c r="O67" s="8" t="inlineStr">
        <is>
          <t>Sinella curviseta</t>
        </is>
      </c>
      <c r="P67" s="8" t="n">
        <v>187695</v>
      </c>
      <c r="Q67" s="8" t="n"/>
      <c r="R67" s="8" t="n">
        <v>4650.37</v>
      </c>
      <c r="S67" s="8" t="inlineStr">
        <is>
          <t>Yeast</t>
        </is>
      </c>
      <c r="T67" s="8" t="n"/>
      <c r="U67" s="8" t="n"/>
      <c r="V67" s="8" t="n"/>
      <c r="W67" s="8" t="inlineStr">
        <is>
          <t>ncbi-phylum-2026-08-04-v1</t>
        </is>
      </c>
      <c r="X67" s="8" t="inlineStr">
        <is>
          <t>submitted table</t>
        </is>
      </c>
      <c r="Y67" s="8" t="inlineStr">
        <is>
          <t>yes</t>
        </is>
      </c>
    </row>
    <row r="68">
      <c r="A68" s="8" t="inlineStr">
        <is>
          <t>Acrogalumna_longipluma_Lu11POS.mzML</t>
        </is>
      </c>
      <c r="B68" s="8" t="inlineStr">
        <is>
          <t>LU11POS</t>
        </is>
      </c>
      <c r="C68" s="8" t="inlineStr">
        <is>
          <t>batch_03_OE23-POS</t>
        </is>
      </c>
      <c r="D68" s="8" t="inlineStr">
        <is>
          <t>Animalia</t>
        </is>
      </c>
      <c r="E68" s="8" t="inlineStr">
        <is>
          <t>Arthropoda</t>
        </is>
      </c>
      <c r="F68" s="8" t="n">
        <v>6656</v>
      </c>
      <c r="G68" s="8" t="inlineStr">
        <is>
          <t>core_candidate</t>
        </is>
      </c>
      <c r="H68" s="8" t="inlineStr">
        <is>
          <t>Animalia</t>
        </is>
      </c>
      <c r="I68" s="8" t="inlineStr">
        <is>
          <t>Arthropoda</t>
        </is>
      </c>
      <c r="J68" s="8" t="n"/>
      <c r="K68" s="8" t="inlineStr">
        <is>
          <t>arachnida</t>
        </is>
      </c>
      <c r="L68" s="8" t="inlineStr">
        <is>
          <t>Sarcoptiformes</t>
        </is>
      </c>
      <c r="M68" s="8" t="inlineStr">
        <is>
          <t>Galumnidae</t>
        </is>
      </c>
      <c r="N68" s="8" t="inlineStr">
        <is>
          <t>Allogalumna</t>
        </is>
      </c>
      <c r="O68" s="8" t="inlineStr">
        <is>
          <t>Allogalumna longipluma</t>
        </is>
      </c>
      <c r="P68" s="8" t="n">
        <v>708378</v>
      </c>
      <c r="Q68" s="8" t="n"/>
      <c r="R68" s="8" t="n">
        <v>4889.11</v>
      </c>
      <c r="S68" s="8" t="inlineStr">
        <is>
          <t>Yeast</t>
        </is>
      </c>
      <c r="T68" s="8" t="n"/>
      <c r="U68" s="8" t="n"/>
      <c r="V68" s="8" t="n"/>
      <c r="W68" s="8" t="inlineStr">
        <is>
          <t>ncbi-phylum-2026-08-04-v1</t>
        </is>
      </c>
      <c r="X68" s="8" t="inlineStr">
        <is>
          <t>submitted table</t>
        </is>
      </c>
      <c r="Y68" s="8" t="inlineStr">
        <is>
          <t>yes</t>
        </is>
      </c>
    </row>
    <row r="69">
      <c r="A69" s="8" t="inlineStr">
        <is>
          <t>Scheloribates_sp_Lu12POS.mzML</t>
        </is>
      </c>
      <c r="B69" s="8" t="inlineStr">
        <is>
          <t>LU12POS</t>
        </is>
      </c>
      <c r="C69" s="8" t="inlineStr">
        <is>
          <t>batch_03_OE23-POS</t>
        </is>
      </c>
      <c r="D69" s="8" t="inlineStr">
        <is>
          <t>Animalia</t>
        </is>
      </c>
      <c r="E69" s="8" t="inlineStr">
        <is>
          <t>Arthropoda</t>
        </is>
      </c>
      <c r="F69" s="8" t="n">
        <v>6656</v>
      </c>
      <c r="G69" s="8" t="inlineStr">
        <is>
          <t>core_candidate</t>
        </is>
      </c>
      <c r="H69" s="8" t="inlineStr">
        <is>
          <t>Animalia</t>
        </is>
      </c>
      <c r="I69" s="8" t="inlineStr">
        <is>
          <t>Arthropoda</t>
        </is>
      </c>
      <c r="J69" s="8" t="n"/>
      <c r="K69" s="8" t="inlineStr">
        <is>
          <t>Arachnida</t>
        </is>
      </c>
      <c r="L69" s="8" t="inlineStr">
        <is>
          <t>Sarcoptiformes</t>
        </is>
      </c>
      <c r="M69" s="8" t="inlineStr">
        <is>
          <t>Scheloribatidae</t>
        </is>
      </c>
      <c r="N69" s="8" t="inlineStr">
        <is>
          <t>Scheloribates</t>
        </is>
      </c>
      <c r="O69" s="8" t="inlineStr">
        <is>
          <t>unclassified</t>
        </is>
      </c>
      <c r="P69" s="8" t="n">
        <v>253792</v>
      </c>
      <c r="Q69" s="8" t="n"/>
      <c r="R69" s="8" t="n">
        <v>5337.14</v>
      </c>
      <c r="S69" s="8" t="n"/>
      <c r="T69" s="8" t="n"/>
      <c r="U69" s="8" t="n"/>
      <c r="V69" s="8" t="n"/>
      <c r="W69" s="8" t="inlineStr">
        <is>
          <t>ncbi-phylum-2026-08-04-v1</t>
        </is>
      </c>
      <c r="X69" s="8" t="inlineStr">
        <is>
          <t>submitted table</t>
        </is>
      </c>
      <c r="Y69" s="8" t="inlineStr">
        <is>
          <t>yes</t>
        </is>
      </c>
    </row>
    <row r="70">
      <c r="A70" s="8" t="inlineStr">
        <is>
          <t>Folsomia_candida_Lu13POS.mzML</t>
        </is>
      </c>
      <c r="B70" s="8" t="inlineStr">
        <is>
          <t>LU13POS</t>
        </is>
      </c>
      <c r="C70" s="8" t="inlineStr">
        <is>
          <t>batch_03_OE23-POS</t>
        </is>
      </c>
      <c r="D70" s="8" t="inlineStr">
        <is>
          <t>Animalia</t>
        </is>
      </c>
      <c r="E70" s="8" t="inlineStr">
        <is>
          <t>Arthropoda</t>
        </is>
      </c>
      <c r="F70" s="8" t="n">
        <v>6656</v>
      </c>
      <c r="G70" s="8" t="inlineStr">
        <is>
          <t>core_candidate</t>
        </is>
      </c>
      <c r="H70" s="8" t="inlineStr">
        <is>
          <t>Animalia</t>
        </is>
      </c>
      <c r="I70" s="8" t="inlineStr">
        <is>
          <t>Arthropoda</t>
        </is>
      </c>
      <c r="J70" s="8" t="n"/>
      <c r="K70" s="8" t="inlineStr">
        <is>
          <t>Collembola</t>
        </is>
      </c>
      <c r="L70" s="8" t="inlineStr">
        <is>
          <t>Entomobryomorpha</t>
        </is>
      </c>
      <c r="M70" s="8" t="inlineStr">
        <is>
          <t>Isotomidae</t>
        </is>
      </c>
      <c r="N70" s="8" t="inlineStr">
        <is>
          <t>Folsomia</t>
        </is>
      </c>
      <c r="O70" s="8" t="inlineStr">
        <is>
          <t>Folsomia candida</t>
        </is>
      </c>
      <c r="P70" s="8" t="n">
        <v>158441</v>
      </c>
      <c r="Q70" s="8" t="inlineStr">
        <is>
          <t>fcd</t>
        </is>
      </c>
      <c r="R70" s="8" t="n">
        <v>5273.41</v>
      </c>
      <c r="S70" s="8" t="inlineStr">
        <is>
          <t>Yeast</t>
        </is>
      </c>
      <c r="T70" s="8" t="n"/>
      <c r="U70" s="8" t="n"/>
      <c r="V70" s="8" t="n"/>
      <c r="W70" s="8" t="inlineStr">
        <is>
          <t>ncbi-phylum-2026-08-04-v1</t>
        </is>
      </c>
      <c r="X70" s="8" t="inlineStr">
        <is>
          <t>submitted table</t>
        </is>
      </c>
      <c r="Y70" s="8" t="inlineStr">
        <is>
          <t>yes</t>
        </is>
      </c>
    </row>
    <row r="71">
      <c r="A71" s="8" t="inlineStr">
        <is>
          <t>Heteromurus_nitidus_Lu16POS.mzML</t>
        </is>
      </c>
      <c r="B71" s="8" t="inlineStr">
        <is>
          <t>LU16POS</t>
        </is>
      </c>
      <c r="C71" s="8" t="inlineStr">
        <is>
          <t>batch_03_OE23-POS</t>
        </is>
      </c>
      <c r="D71" s="8" t="inlineStr">
        <is>
          <t>Animalia</t>
        </is>
      </c>
      <c r="E71" s="8" t="inlineStr">
        <is>
          <t>Arthropoda</t>
        </is>
      </c>
      <c r="F71" s="8" t="n">
        <v>6656</v>
      </c>
      <c r="G71" s="8" t="inlineStr">
        <is>
          <t>core_candidate</t>
        </is>
      </c>
      <c r="H71" s="8" t="inlineStr">
        <is>
          <t>Animalia</t>
        </is>
      </c>
      <c r="I71" s="8" t="inlineStr">
        <is>
          <t>Arthropoda</t>
        </is>
      </c>
      <c r="J71" s="8" t="n"/>
      <c r="K71" s="8" t="inlineStr">
        <is>
          <t>Collembola</t>
        </is>
      </c>
      <c r="L71" s="8" t="inlineStr">
        <is>
          <t>Entomobryomorpha</t>
        </is>
      </c>
      <c r="M71" s="8" t="inlineStr">
        <is>
          <t>Orchesellidae</t>
        </is>
      </c>
      <c r="N71" s="8" t="inlineStr">
        <is>
          <t>Heteromurus</t>
        </is>
      </c>
      <c r="O71" s="8" t="inlineStr">
        <is>
          <t>Heteromurus nitidus</t>
        </is>
      </c>
      <c r="P71" s="8" t="n">
        <v>254095</v>
      </c>
      <c r="Q71" s="8" t="n"/>
      <c r="R71" s="8" t="n">
        <v>5137.04</v>
      </c>
      <c r="S71" s="8" t="inlineStr">
        <is>
          <t>Yeast</t>
        </is>
      </c>
      <c r="T71" s="8" t="n"/>
      <c r="U71" s="8" t="n"/>
      <c r="V71" s="8" t="n"/>
      <c r="W71" s="8" t="inlineStr">
        <is>
          <t>ncbi-phylum-2026-08-04-v1</t>
        </is>
      </c>
      <c r="X71" s="8" t="inlineStr">
        <is>
          <t>submitted table</t>
        </is>
      </c>
      <c r="Y71" s="8" t="inlineStr">
        <is>
          <t>yes</t>
        </is>
      </c>
    </row>
    <row r="72">
      <c r="A72" s="8" t="inlineStr">
        <is>
          <t>wheatgrass_(Grass)_Lu18POS.mzML</t>
        </is>
      </c>
      <c r="B72" s="8" t="inlineStr">
        <is>
          <t>LU18POS</t>
        </is>
      </c>
      <c r="C72" s="8" t="inlineStr">
        <is>
          <t>batch_03_OE23-POS</t>
        </is>
      </c>
      <c r="D72" s="8" t="inlineStr">
        <is>
          <t>Viridiplantae</t>
        </is>
      </c>
      <c r="E72" s="9" t="inlineStr">
        <is>
          <t>Streptophyta</t>
        </is>
      </c>
      <c r="F72" s="8" t="n">
        <v>35493</v>
      </c>
      <c r="G72" s="8" t="inlineStr">
        <is>
          <t>core_candidate</t>
        </is>
      </c>
      <c r="H72" s="8" t="inlineStr">
        <is>
          <t>Plantae</t>
        </is>
      </c>
      <c r="I72" s="8" t="inlineStr">
        <is>
          <t>Magnoliophyta</t>
        </is>
      </c>
      <c r="J72" s="8" t="inlineStr">
        <is>
          <t>yes</t>
        </is>
      </c>
      <c r="K72" s="8" t="inlineStr">
        <is>
          <t>Liliopsida</t>
        </is>
      </c>
      <c r="L72" s="8" t="inlineStr">
        <is>
          <t>Poales</t>
        </is>
      </c>
      <c r="M72" s="8" t="inlineStr">
        <is>
          <t>Poaceae</t>
        </is>
      </c>
      <c r="N72" s="8" t="inlineStr">
        <is>
          <t>wheatgrass</t>
        </is>
      </c>
      <c r="O72" s="8" t="inlineStr">
        <is>
          <t>wheatgrass (Grass)</t>
        </is>
      </c>
      <c r="P72" s="8" t="n">
        <v>4565</v>
      </c>
      <c r="Q72" s="8" t="inlineStr">
        <is>
          <t>osa</t>
        </is>
      </c>
      <c r="R72" s="8" t="n">
        <v>4502.82</v>
      </c>
      <c r="S72" s="8" t="n"/>
      <c r="T72" s="8" t="n"/>
      <c r="U72" s="8" t="n"/>
      <c r="V72" s="8" t="n"/>
      <c r="W72" s="8" t="inlineStr">
        <is>
          <t>ncbi-phylum-2026-08-04-v1</t>
        </is>
      </c>
      <c r="X72" s="8" t="inlineStr">
        <is>
          <t>submitted table</t>
        </is>
      </c>
      <c r="Y72" s="8" t="inlineStr">
        <is>
          <t>yes</t>
        </is>
      </c>
    </row>
    <row r="73">
      <c r="A73" s="8" t="inlineStr">
        <is>
          <t>Heterorhabditis_Sp_N1POS.mzML</t>
        </is>
      </c>
      <c r="B73" s="8" t="inlineStr">
        <is>
          <t>N1POS</t>
        </is>
      </c>
      <c r="C73" s="8" t="inlineStr">
        <is>
          <t>batch_03_OE23-POS</t>
        </is>
      </c>
      <c r="D73" s="8" t="inlineStr">
        <is>
          <t>Animalia</t>
        </is>
      </c>
      <c r="E73" s="8" t="inlineStr">
        <is>
          <t>Nematoda</t>
        </is>
      </c>
      <c r="F73" s="8" t="n">
        <v>6231</v>
      </c>
      <c r="G73" s="8" t="inlineStr">
        <is>
          <t>core_candidate</t>
        </is>
      </c>
      <c r="H73" s="8" t="inlineStr">
        <is>
          <t>Animalia</t>
        </is>
      </c>
      <c r="I73" s="8" t="inlineStr">
        <is>
          <t>Nematoda</t>
        </is>
      </c>
      <c r="J73" s="8" t="n"/>
      <c r="K73" s="8" t="inlineStr">
        <is>
          <t>Chromadorea</t>
        </is>
      </c>
      <c r="L73" s="8" t="inlineStr">
        <is>
          <t>Rhabditida</t>
        </is>
      </c>
      <c r="M73" s="8" t="inlineStr">
        <is>
          <t>Heterorhabditidae</t>
        </is>
      </c>
      <c r="N73" s="8" t="inlineStr">
        <is>
          <t>Heterorhabditis</t>
        </is>
      </c>
      <c r="O73" s="8" t="inlineStr">
        <is>
          <t>Heterorhabditis Sp</t>
        </is>
      </c>
      <c r="P73" s="8" t="n">
        <v>6316</v>
      </c>
      <c r="Q73" s="8" t="n"/>
      <c r="R73" s="8" t="n">
        <v>4399.16</v>
      </c>
      <c r="S73" s="8" t="n"/>
      <c r="T73" s="8" t="n"/>
      <c r="U73" s="8" t="n"/>
      <c r="V73" s="8" t="n"/>
      <c r="W73" s="8" t="inlineStr">
        <is>
          <t>ncbi-phylum-2026-08-04-v1</t>
        </is>
      </c>
      <c r="X73" s="8" t="inlineStr">
        <is>
          <t>submitted table</t>
        </is>
      </c>
      <c r="Y73" s="8" t="inlineStr">
        <is>
          <t>yes</t>
        </is>
      </c>
    </row>
    <row r="74">
      <c r="A74" s="8" t="inlineStr">
        <is>
          <t>Steinernema_feltiae_N2POS.mzML</t>
        </is>
      </c>
      <c r="B74" s="8" t="inlineStr">
        <is>
          <t>N2POS</t>
        </is>
      </c>
      <c r="C74" s="8" t="inlineStr">
        <is>
          <t>batch_03_OE23-POS</t>
        </is>
      </c>
      <c r="D74" s="8" t="inlineStr">
        <is>
          <t>Animalia</t>
        </is>
      </c>
      <c r="E74" s="8" t="inlineStr">
        <is>
          <t>Nematoda</t>
        </is>
      </c>
      <c r="F74" s="8" t="n">
        <v>6231</v>
      </c>
      <c r="G74" s="8" t="inlineStr">
        <is>
          <t>core_candidate</t>
        </is>
      </c>
      <c r="H74" s="8" t="inlineStr">
        <is>
          <t>Animalia</t>
        </is>
      </c>
      <c r="I74" s="8" t="inlineStr">
        <is>
          <t>Nematoda</t>
        </is>
      </c>
      <c r="J74" s="8" t="n"/>
      <c r="K74" s="8" t="inlineStr">
        <is>
          <t>Chromadorea</t>
        </is>
      </c>
      <c r="L74" s="8" t="inlineStr">
        <is>
          <t>Rhabditida</t>
        </is>
      </c>
      <c r="M74" s="8" t="inlineStr">
        <is>
          <t>Steinernematidae</t>
        </is>
      </c>
      <c r="N74" s="8" t="inlineStr">
        <is>
          <t>Steinernema</t>
        </is>
      </c>
      <c r="O74" s="8" t="inlineStr">
        <is>
          <t>Steinernema feltiae</t>
        </is>
      </c>
      <c r="P74" s="8" t="n">
        <v>52066</v>
      </c>
      <c r="Q74" s="8" t="n"/>
      <c r="R74" s="8" t="n">
        <v>5143.09</v>
      </c>
      <c r="S74" s="8" t="n"/>
      <c r="T74" s="8" t="n"/>
      <c r="U74" s="8" t="n"/>
      <c r="V74" s="8" t="n"/>
      <c r="W74" s="8" t="inlineStr">
        <is>
          <t>ncbi-phylum-2026-08-04-v1</t>
        </is>
      </c>
      <c r="X74" s="8" t="inlineStr">
        <is>
          <t>submitted table</t>
        </is>
      </c>
      <c r="Y74" s="8" t="inlineStr">
        <is>
          <t>yes</t>
        </is>
      </c>
    </row>
    <row r="75">
      <c r="A75" s="8" t="inlineStr">
        <is>
          <t>Steinernema_feltiae_N2POS_20240925051918.mzML</t>
        </is>
      </c>
      <c r="B75" s="8" t="inlineStr">
        <is>
          <t>N2POS_20240925051918</t>
        </is>
      </c>
      <c r="C75" s="8" t="inlineStr">
        <is>
          <t>batch_03_OE23-POS</t>
        </is>
      </c>
      <c r="D75" s="8" t="inlineStr">
        <is>
          <t>Animalia</t>
        </is>
      </c>
      <c r="E75" s="8" t="inlineStr">
        <is>
          <t>Nematoda</t>
        </is>
      </c>
      <c r="F75" s="8" t="n">
        <v>6231</v>
      </c>
      <c r="G75" s="8" t="inlineStr">
        <is>
          <t>core_candidate</t>
        </is>
      </c>
      <c r="H75" s="8" t="inlineStr">
        <is>
          <t>Animalia</t>
        </is>
      </c>
      <c r="I75" s="8" t="inlineStr">
        <is>
          <t>Nematoda</t>
        </is>
      </c>
      <c r="J75" s="8" t="n"/>
      <c r="K75" s="8" t="inlineStr">
        <is>
          <t>Chromadorea</t>
        </is>
      </c>
      <c r="L75" s="8" t="inlineStr">
        <is>
          <t>Rhabditida</t>
        </is>
      </c>
      <c r="M75" s="8" t="inlineStr">
        <is>
          <t>Steinernematidae</t>
        </is>
      </c>
      <c r="N75" s="8" t="inlineStr">
        <is>
          <t>Steinernema</t>
        </is>
      </c>
      <c r="O75" s="8" t="inlineStr">
        <is>
          <t>Steinernema feltiae</t>
        </is>
      </c>
      <c r="P75" s="8" t="n">
        <v>52066</v>
      </c>
      <c r="Q75" s="8" t="n"/>
      <c r="R75" s="8" t="n">
        <v>5143.09</v>
      </c>
      <c r="S75" s="8" t="n"/>
      <c r="T75" s="8" t="n"/>
      <c r="U75" s="8" t="n"/>
      <c r="V75" s="8" t="n"/>
      <c r="W75" s="8" t="inlineStr">
        <is>
          <t>ncbi-phylum-2026-08-04-v1</t>
        </is>
      </c>
      <c r="X75" s="8" t="inlineStr">
        <is>
          <t>submitted table</t>
        </is>
      </c>
      <c r="Y75" s="8" t="inlineStr">
        <is>
          <t>yes</t>
        </is>
      </c>
    </row>
    <row r="76">
      <c r="A76" s="8" t="inlineStr">
        <is>
          <t>Steinernema_Carpocapsae_N3POS.mzML</t>
        </is>
      </c>
      <c r="B76" s="8" t="inlineStr">
        <is>
          <t>N3POS</t>
        </is>
      </c>
      <c r="C76" s="8" t="inlineStr">
        <is>
          <t>batch_03_OE23-POS</t>
        </is>
      </c>
      <c r="D76" s="8" t="inlineStr">
        <is>
          <t>Animalia</t>
        </is>
      </c>
      <c r="E76" s="8" t="inlineStr">
        <is>
          <t>Nematoda</t>
        </is>
      </c>
      <c r="F76" s="8" t="n">
        <v>6231</v>
      </c>
      <c r="G76" s="8" t="inlineStr">
        <is>
          <t>core_candidate</t>
        </is>
      </c>
      <c r="H76" s="8" t="inlineStr">
        <is>
          <t>Animalia</t>
        </is>
      </c>
      <c r="I76" s="8" t="inlineStr">
        <is>
          <t>Nematoda</t>
        </is>
      </c>
      <c r="J76" s="8" t="n"/>
      <c r="K76" s="8" t="inlineStr">
        <is>
          <t>Chromadorea</t>
        </is>
      </c>
      <c r="L76" s="8" t="inlineStr">
        <is>
          <t>Rhabditida</t>
        </is>
      </c>
      <c r="M76" s="8" t="inlineStr">
        <is>
          <t>Steinernematidae</t>
        </is>
      </c>
      <c r="N76" s="8" t="inlineStr">
        <is>
          <t>Steinernema</t>
        </is>
      </c>
      <c r="O76" s="8" t="inlineStr">
        <is>
          <t>Steinernema Carpocapsae</t>
        </is>
      </c>
      <c r="P76" s="8" t="n">
        <v>34508</v>
      </c>
      <c r="Q76" s="8" t="n"/>
      <c r="R76" s="8" t="n">
        <v>4666.78</v>
      </c>
      <c r="S76" s="8" t="n"/>
      <c r="T76" s="8" t="n"/>
      <c r="U76" s="8" t="n"/>
      <c r="V76" s="8" t="n"/>
      <c r="W76" s="8" t="inlineStr">
        <is>
          <t>ncbi-phylum-2026-08-04-v1</t>
        </is>
      </c>
      <c r="X76" s="8" t="inlineStr">
        <is>
          <t>submitted table</t>
        </is>
      </c>
      <c r="Y76" s="8" t="inlineStr">
        <is>
          <t>yes</t>
        </is>
      </c>
    </row>
    <row r="77">
      <c r="A77" s="8" t="inlineStr">
        <is>
          <t>Anabaena_torulosa_P34POS.mzML</t>
        </is>
      </c>
      <c r="B77" s="8" t="inlineStr">
        <is>
          <t>P34POS</t>
        </is>
      </c>
      <c r="C77" s="8" t="inlineStr">
        <is>
          <t>batch_03_OE23-POS</t>
        </is>
      </c>
      <c r="D77" s="8" t="inlineStr">
        <is>
          <t>Bacteria</t>
        </is>
      </c>
      <c r="E77" s="8" t="inlineStr">
        <is>
          <t>Cyanobacteriota</t>
        </is>
      </c>
      <c r="F77" s="8" t="n">
        <v>1117</v>
      </c>
      <c r="G77" s="8" t="inlineStr">
        <is>
          <t>core_candidate</t>
        </is>
      </c>
      <c r="H77" s="8" t="inlineStr">
        <is>
          <t>Bacteria</t>
        </is>
      </c>
      <c r="I77" s="8" t="inlineStr">
        <is>
          <t>Cyanobacteriota</t>
        </is>
      </c>
      <c r="J77" s="8" t="n"/>
      <c r="K77" s="8" t="inlineStr">
        <is>
          <t>Cyanophyceae</t>
        </is>
      </c>
      <c r="L77" s="8" t="inlineStr">
        <is>
          <t>Nostocales</t>
        </is>
      </c>
      <c r="M77" s="8" t="inlineStr">
        <is>
          <t>Nostocaceae</t>
        </is>
      </c>
      <c r="N77" s="8" t="inlineStr">
        <is>
          <t>Anabaena</t>
        </is>
      </c>
      <c r="O77" s="8" t="inlineStr">
        <is>
          <t>Anabaena torulosa</t>
        </is>
      </c>
      <c r="P77" s="8" t="n">
        <v>156211</v>
      </c>
      <c r="Q77" s="8" t="n"/>
      <c r="R77" s="8" t="n">
        <v>2465.26</v>
      </c>
      <c r="S77" s="8" t="n"/>
      <c r="T77" s="8" t="n"/>
      <c r="U77" s="8" t="n"/>
      <c r="V77" s="8" t="n"/>
      <c r="W77" s="8" t="inlineStr">
        <is>
          <t>ncbi-phylum-2026-08-04-v1</t>
        </is>
      </c>
      <c r="X77" s="8" t="inlineStr">
        <is>
          <t>submitted table</t>
        </is>
      </c>
      <c r="Y77" s="8" t="inlineStr">
        <is>
          <t>yes</t>
        </is>
      </c>
    </row>
    <row r="78">
      <c r="A78" s="8" t="inlineStr">
        <is>
          <t>Micrasterias_mahabuleshwarensis_P37POS.mzML</t>
        </is>
      </c>
      <c r="B78" s="8" t="inlineStr">
        <is>
          <t>P37POS</t>
        </is>
      </c>
      <c r="C78" s="8" t="inlineStr">
        <is>
          <t>batch_03_OE23-POS</t>
        </is>
      </c>
      <c r="D78" s="8" t="inlineStr">
        <is>
          <t>Viridiplantae</t>
        </is>
      </c>
      <c r="E78" s="9" t="inlineStr">
        <is>
          <t>Streptophyta</t>
        </is>
      </c>
      <c r="F78" s="8" t="n">
        <v>35493</v>
      </c>
      <c r="G78" s="8" t="inlineStr">
        <is>
          <t>core_candidate</t>
        </is>
      </c>
      <c r="H78" s="8" t="inlineStr">
        <is>
          <t>Plantae</t>
        </is>
      </c>
      <c r="I78" s="8" t="inlineStr">
        <is>
          <t>Charophyta</t>
        </is>
      </c>
      <c r="J78" s="8" t="inlineStr">
        <is>
          <t>yes</t>
        </is>
      </c>
      <c r="K78" s="8" t="inlineStr">
        <is>
          <t>Zygnematophyceae</t>
        </is>
      </c>
      <c r="L78" s="8" t="inlineStr">
        <is>
          <t>Desmidiales</t>
        </is>
      </c>
      <c r="M78" s="8" t="inlineStr">
        <is>
          <t>Desmidiaceae</t>
        </is>
      </c>
      <c r="N78" s="8" t="inlineStr">
        <is>
          <t>Micrasterias</t>
        </is>
      </c>
      <c r="O78" s="8" t="inlineStr">
        <is>
          <t>Micrasterias mahabuleshwarensis</t>
        </is>
      </c>
      <c r="P78" s="8" t="n">
        <v>265670</v>
      </c>
      <c r="Q78" s="8" t="n"/>
      <c r="R78" s="8" t="n">
        <v>4711.47</v>
      </c>
      <c r="S78" s="8" t="n"/>
      <c r="T78" s="8" t="n"/>
      <c r="U78" s="8" t="n"/>
      <c r="V78" s="8" t="n"/>
      <c r="W78" s="8" t="inlineStr">
        <is>
          <t>ncbi-phylum-2026-08-04-v1</t>
        </is>
      </c>
      <c r="X78" s="8" t="inlineStr">
        <is>
          <t>submitted table</t>
        </is>
      </c>
      <c r="Y78" s="8" t="inlineStr">
        <is>
          <t>yes</t>
        </is>
      </c>
    </row>
    <row r="79">
      <c r="A79" s="8" t="inlineStr">
        <is>
          <t>Cladophora_P46POS.mzML</t>
        </is>
      </c>
      <c r="B79" s="8" t="inlineStr">
        <is>
          <t>P46POS</t>
        </is>
      </c>
      <c r="C79" s="8" t="inlineStr">
        <is>
          <t>batch_03_OE23-POS</t>
        </is>
      </c>
      <c r="D79" s="8" t="inlineStr">
        <is>
          <t>Viridiplantae</t>
        </is>
      </c>
      <c r="E79" s="8" t="inlineStr">
        <is>
          <t>Chlorophyta</t>
        </is>
      </c>
      <c r="F79" s="8" t="n">
        <v>3041</v>
      </c>
      <c r="G79" s="8" t="inlineStr">
        <is>
          <t>core_candidate</t>
        </is>
      </c>
      <c r="H79" s="8" t="inlineStr">
        <is>
          <t>Plantae</t>
        </is>
      </c>
      <c r="I79" s="8" t="inlineStr">
        <is>
          <t>Chlorophyta</t>
        </is>
      </c>
      <c r="J79" s="8" t="n"/>
      <c r="K79" s="8" t="inlineStr">
        <is>
          <t>Ulvophyceae</t>
        </is>
      </c>
      <c r="L79" s="8" t="inlineStr">
        <is>
          <t>Cladophorales</t>
        </is>
      </c>
      <c r="M79" s="8" t="inlineStr">
        <is>
          <t>Cladophoraceae</t>
        </is>
      </c>
      <c r="N79" s="8" t="inlineStr">
        <is>
          <t>Cladophora</t>
        </is>
      </c>
      <c r="O79" s="8" t="inlineStr">
        <is>
          <t>Various species</t>
        </is>
      </c>
      <c r="P79" s="8" t="n">
        <v>3152</v>
      </c>
      <c r="Q79" s="8" t="n"/>
      <c r="R79" s="8" t="n">
        <v>4801.03</v>
      </c>
      <c r="S79" s="8" t="n"/>
      <c r="T79" s="8" t="n"/>
      <c r="U79" s="8" t="n"/>
      <c r="V79" s="8" t="n"/>
      <c r="W79" s="8" t="inlineStr">
        <is>
          <t>ncbi-phylum-2026-08-04-v1</t>
        </is>
      </c>
      <c r="X79" s="8" t="inlineStr">
        <is>
          <t>submitted table</t>
        </is>
      </c>
      <c r="Y79" s="8" t="inlineStr">
        <is>
          <t>yes</t>
        </is>
      </c>
    </row>
    <row r="80">
      <c r="A80" s="8" t="inlineStr">
        <is>
          <t>Chlorodesmis_P49POS.mzML</t>
        </is>
      </c>
      <c r="B80" s="8" t="inlineStr">
        <is>
          <t>P49POS</t>
        </is>
      </c>
      <c r="C80" s="8" t="inlineStr">
        <is>
          <t>batch_03_OE23-POS</t>
        </is>
      </c>
      <c r="D80" s="8" t="inlineStr">
        <is>
          <t>Viridiplantae</t>
        </is>
      </c>
      <c r="E80" s="8" t="inlineStr">
        <is>
          <t>Chlorophyta</t>
        </is>
      </c>
      <c r="F80" s="8" t="n">
        <v>3041</v>
      </c>
      <c r="G80" s="8" t="inlineStr">
        <is>
          <t>core_candidate</t>
        </is>
      </c>
      <c r="H80" s="8" t="inlineStr">
        <is>
          <t>Plantae</t>
        </is>
      </c>
      <c r="I80" s="8" t="inlineStr">
        <is>
          <t>Chlorophyta</t>
        </is>
      </c>
      <c r="J80" s="8" t="n"/>
      <c r="K80" s="8" t="inlineStr">
        <is>
          <t>Ulvophyceae</t>
        </is>
      </c>
      <c r="L80" s="8" t="inlineStr">
        <is>
          <t>Bryopsidales</t>
        </is>
      </c>
      <c r="M80" s="8" t="inlineStr">
        <is>
          <t>Udoteaceae</t>
        </is>
      </c>
      <c r="N80" s="8" t="inlineStr">
        <is>
          <t>Chlorodesmis</t>
        </is>
      </c>
      <c r="O80" s="8" t="inlineStr">
        <is>
          <t>Various species</t>
        </is>
      </c>
      <c r="P80" s="8" t="n">
        <v>51515</v>
      </c>
      <c r="Q80" s="8" t="n"/>
      <c r="R80" s="8" t="n">
        <v>4738.2</v>
      </c>
      <c r="S80" s="8" t="n"/>
      <c r="T80" s="8" t="n"/>
      <c r="U80" s="8" t="n"/>
      <c r="V80" s="8" t="n"/>
      <c r="W80" s="8" t="inlineStr">
        <is>
          <t>ncbi-phylum-2026-08-04-v1</t>
        </is>
      </c>
      <c r="X80" s="8" t="inlineStr">
        <is>
          <t>submitted table</t>
        </is>
      </c>
      <c r="Y80" s="8" t="inlineStr">
        <is>
          <t>yes</t>
        </is>
      </c>
    </row>
    <row r="81">
      <c r="A81" s="8" t="inlineStr">
        <is>
          <t>BryopsisP55POS.mzML</t>
        </is>
      </c>
      <c r="B81" s="8" t="inlineStr">
        <is>
          <t>P55POS</t>
        </is>
      </c>
      <c r="C81" s="8" t="inlineStr">
        <is>
          <t>batch_03_OE23-POS</t>
        </is>
      </c>
      <c r="D81" s="8" t="inlineStr">
        <is>
          <t>Viridiplantae</t>
        </is>
      </c>
      <c r="E81" s="8" t="inlineStr">
        <is>
          <t>Chlorophyta</t>
        </is>
      </c>
      <c r="F81" s="8" t="n">
        <v>3041</v>
      </c>
      <c r="G81" s="8" t="inlineStr">
        <is>
          <t>core_candidate</t>
        </is>
      </c>
      <c r="H81" s="8" t="inlineStr">
        <is>
          <t>Plantae</t>
        </is>
      </c>
      <c r="I81" s="8" t="inlineStr">
        <is>
          <t>Chlorophyta</t>
        </is>
      </c>
      <c r="J81" s="8" t="n"/>
      <c r="K81" s="8" t="inlineStr">
        <is>
          <t>Ulvophyceae</t>
        </is>
      </c>
      <c r="L81" s="8" t="inlineStr">
        <is>
          <t>Bryopsidales</t>
        </is>
      </c>
      <c r="M81" s="8" t="inlineStr">
        <is>
          <t>Bryopsidaceae</t>
        </is>
      </c>
      <c r="N81" s="8" t="inlineStr">
        <is>
          <t>Bryopsis</t>
        </is>
      </c>
      <c r="O81" s="8" t="inlineStr">
        <is>
          <t>Various species</t>
        </is>
      </c>
      <c r="P81" s="8" t="n">
        <v>3049</v>
      </c>
      <c r="Q81" s="8" t="n"/>
      <c r="R81" s="8" t="n">
        <v>5114.89</v>
      </c>
      <c r="S81" s="8" t="n"/>
      <c r="T81" s="8" t="n"/>
      <c r="U81" s="8" t="n"/>
      <c r="V81" s="8" t="n"/>
      <c r="W81" s="8" t="inlineStr">
        <is>
          <t>ncbi-phylum-2026-08-04-v1</t>
        </is>
      </c>
      <c r="X81" s="8" t="inlineStr">
        <is>
          <t>submitted table</t>
        </is>
      </c>
      <c r="Y81" s="8" t="inlineStr">
        <is>
          <t>yes</t>
        </is>
      </c>
    </row>
    <row r="82">
      <c r="A82" s="8" t="inlineStr">
        <is>
          <t>Ulva_P56POS_20240924144544.mzML</t>
        </is>
      </c>
      <c r="B82" s="8" t="inlineStr">
        <is>
          <t>P56POS_20240924144544</t>
        </is>
      </c>
      <c r="C82" s="8" t="inlineStr">
        <is>
          <t>batch_03_OE23-POS</t>
        </is>
      </c>
      <c r="D82" s="8" t="inlineStr">
        <is>
          <t>Viridiplantae</t>
        </is>
      </c>
      <c r="E82" s="8" t="inlineStr">
        <is>
          <t>Chlorophyta</t>
        </is>
      </c>
      <c r="F82" s="8" t="n">
        <v>3041</v>
      </c>
      <c r="G82" s="8" t="inlineStr">
        <is>
          <t>core_candidate</t>
        </is>
      </c>
      <c r="H82" s="8" t="inlineStr">
        <is>
          <t>Plantae</t>
        </is>
      </c>
      <c r="I82" s="8" t="inlineStr">
        <is>
          <t>Chlorophyta</t>
        </is>
      </c>
      <c r="J82" s="8" t="n"/>
      <c r="K82" s="8" t="inlineStr">
        <is>
          <t>Ulvophyceae</t>
        </is>
      </c>
      <c r="L82" s="8" t="inlineStr">
        <is>
          <t>Ulvales</t>
        </is>
      </c>
      <c r="M82" s="8" t="inlineStr">
        <is>
          <t>Ulvaceae</t>
        </is>
      </c>
      <c r="N82" s="8" t="inlineStr">
        <is>
          <t>Ulva</t>
        </is>
      </c>
      <c r="O82" s="8" t="inlineStr">
        <is>
          <t>Various species</t>
        </is>
      </c>
      <c r="P82" s="8" t="n">
        <v>3115</v>
      </c>
      <c r="Q82" s="8" t="n"/>
      <c r="R82" s="8" t="n">
        <v>4626.72</v>
      </c>
      <c r="S82" s="8" t="n"/>
      <c r="T82" s="8" t="n"/>
      <c r="U82" s="8" t="n"/>
      <c r="V82" s="8" t="n"/>
      <c r="W82" s="8" t="inlineStr">
        <is>
          <t>ncbi-phylum-2026-08-04-v1</t>
        </is>
      </c>
      <c r="X82" s="8" t="inlineStr">
        <is>
          <t>submitted table</t>
        </is>
      </c>
      <c r="Y82" s="8" t="inlineStr">
        <is>
          <t>yes</t>
        </is>
      </c>
    </row>
    <row r="83">
      <c r="A83" s="8" t="inlineStr">
        <is>
          <t>Chlamydomonas_sp_ (ASW 05181)_P58POS_20240924151656.mzML</t>
        </is>
      </c>
      <c r="B83" s="8" t="inlineStr">
        <is>
          <t>P58POS_20240924151656</t>
        </is>
      </c>
      <c r="C83" s="8" t="inlineStr">
        <is>
          <t>batch_03_OE23-POS</t>
        </is>
      </c>
      <c r="D83" s="8" t="inlineStr">
        <is>
          <t>Viridiplantae</t>
        </is>
      </c>
      <c r="E83" s="8" t="inlineStr">
        <is>
          <t>Chlorophyta</t>
        </is>
      </c>
      <c r="F83" s="8" t="n">
        <v>3041</v>
      </c>
      <c r="G83" s="8" t="inlineStr">
        <is>
          <t>core_candidate</t>
        </is>
      </c>
      <c r="H83" s="8" t="inlineStr">
        <is>
          <t>Plantae</t>
        </is>
      </c>
      <c r="I83" s="8" t="inlineStr">
        <is>
          <t>Chlorophyta</t>
        </is>
      </c>
      <c r="J83" s="8" t="n"/>
      <c r="K83" s="8" t="inlineStr">
        <is>
          <t>Chlorophyceae</t>
        </is>
      </c>
      <c r="L83" s="8" t="inlineStr">
        <is>
          <t>Chlamydomonadales</t>
        </is>
      </c>
      <c r="M83" s="8" t="inlineStr">
        <is>
          <t>Chlamydomonadaceae</t>
        </is>
      </c>
      <c r="N83" s="8" t="inlineStr">
        <is>
          <t>Chlamydomonas</t>
        </is>
      </c>
      <c r="O83" s="8" t="inlineStr">
        <is>
          <t>Chlamydomonas sp.</t>
        </is>
      </c>
      <c r="P83" s="8" t="n">
        <v>3052</v>
      </c>
      <c r="Q83" s="8" t="inlineStr">
        <is>
          <t>cre</t>
        </is>
      </c>
      <c r="R83" s="8" t="n"/>
      <c r="S83" s="8" t="n"/>
      <c r="T83" s="8" t="n"/>
      <c r="U83" s="8" t="n"/>
      <c r="V83" s="8" t="n"/>
      <c r="W83" s="8" t="inlineStr">
        <is>
          <t>ncbi-phylum-2026-08-04-v1</t>
        </is>
      </c>
      <c r="X83" s="8" t="inlineStr">
        <is>
          <t>submitted table</t>
        </is>
      </c>
      <c r="Y83" s="8" t="inlineStr">
        <is>
          <t>yes</t>
        </is>
      </c>
    </row>
    <row r="84">
      <c r="A84" s="8" t="inlineStr">
        <is>
          <t>Arthrobacter_sp_OE25102891POS.mzML</t>
        </is>
      </c>
      <c r="B84" s="8" t="inlineStr">
        <is>
          <t>102891POS</t>
        </is>
      </c>
      <c r="C84" s="8" t="inlineStr">
        <is>
          <t>batch_04_OE26-1POS</t>
        </is>
      </c>
      <c r="D84" s="8" t="n"/>
      <c r="E84" s="9" t="n"/>
      <c r="F84" s="8" t="n"/>
      <c r="G84" s="8" t="inlineStr">
        <is>
          <t>excluded</t>
        </is>
      </c>
      <c r="H84" s="8" t="inlineStr">
        <is>
          <t>Bacteria</t>
        </is>
      </c>
      <c r="I84" s="8" t="inlineStr">
        <is>
          <t>Actinomycetota</t>
        </is>
      </c>
      <c r="J84" s="8" t="inlineStr">
        <is>
          <t>yes</t>
        </is>
      </c>
      <c r="K84" s="8" t="inlineStr">
        <is>
          <t>Actinomycetes</t>
        </is>
      </c>
      <c r="L84" s="8" t="inlineStr">
        <is>
          <t>Micrococcales</t>
        </is>
      </c>
      <c r="M84" s="8" t="inlineStr">
        <is>
          <t>Micrococcaceae</t>
        </is>
      </c>
      <c r="N84" s="8" t="inlineStr">
        <is>
          <t>Arthrobacter</t>
        </is>
      </c>
      <c r="O84" s="8" t="inlineStr">
        <is>
          <t>Arthrobacter sp</t>
        </is>
      </c>
      <c r="P84" s="8" t="n">
        <v>1663</v>
      </c>
      <c r="Q84" s="8" t="n"/>
      <c r="R84" s="8" t="n"/>
      <c r="S84" s="8" t="inlineStr">
        <is>
          <t>TSA</t>
        </is>
      </c>
      <c r="T84" s="8" t="n">
        <v>20</v>
      </c>
      <c r="U84" s="8" t="n"/>
      <c r="V84" s="8" t="n"/>
      <c r="W84" s="8" t="inlineStr">
        <is>
          <t>ncbi-phylum-2026-08-04-v1</t>
        </is>
      </c>
      <c r="X84" s="8" t="inlineStr">
        <is>
          <t>submitted table</t>
        </is>
      </c>
      <c r="Y84" s="8" t="inlineStr">
        <is>
          <t>no</t>
        </is>
      </c>
    </row>
    <row r="85">
      <c r="A85" s="8" t="inlineStr">
        <is>
          <t>OE25AC1BU-2POS.mzML</t>
        </is>
      </c>
      <c r="B85" s="8" t="inlineStr">
        <is>
          <t>OE25AC1BU-2POS</t>
        </is>
      </c>
      <c r="C85" s="8" t="inlineStr">
        <is>
          <t>batch_04_OE26-1POS</t>
        </is>
      </c>
      <c r="D85" s="8" t="inlineStr">
        <is>
          <t>Protists</t>
        </is>
      </c>
      <c r="E85" s="9" t="inlineStr">
        <is>
          <t>Discosea</t>
        </is>
      </c>
      <c r="F85" s="8" t="n">
        <v>555280</v>
      </c>
      <c r="G85" s="8" t="inlineStr">
        <is>
          <t>core_candidate</t>
        </is>
      </c>
      <c r="H85" s="8" t="inlineStr">
        <is>
          <t>Protozoa</t>
        </is>
      </c>
      <c r="I85" s="8" t="inlineStr">
        <is>
          <t>Amoebozoa</t>
        </is>
      </c>
      <c r="J85" s="8" t="inlineStr">
        <is>
          <t>yes</t>
        </is>
      </c>
      <c r="K85" s="8" t="inlineStr">
        <is>
          <t>Discosea</t>
        </is>
      </c>
      <c r="L85" s="8" t="inlineStr">
        <is>
          <t>Centramoebida</t>
        </is>
      </c>
      <c r="M85" s="8" t="inlineStr">
        <is>
          <t>Acanthamoebidae</t>
        </is>
      </c>
      <c r="N85" s="8" t="inlineStr">
        <is>
          <t>Acantamoeba castelanii 1BU</t>
        </is>
      </c>
      <c r="O85" s="8" t="n"/>
      <c r="P85" s="8" t="n">
        <v>5755</v>
      </c>
      <c r="Q85" s="8" t="inlineStr">
        <is>
          <t>acan</t>
        </is>
      </c>
      <c r="R85" s="8" t="n"/>
      <c r="S85" s="8" t="n"/>
      <c r="T85" s="8" t="n"/>
      <c r="U85" s="8" t="n"/>
      <c r="V85" s="8" t="n"/>
      <c r="W85" s="8" t="inlineStr">
        <is>
          <t>ncbi-phylum-2026-08-04-v1</t>
        </is>
      </c>
      <c r="X85" s="8" t="inlineStr">
        <is>
          <t>submitted table</t>
        </is>
      </c>
      <c r="Y85" s="8" t="inlineStr">
        <is>
          <t>yes</t>
        </is>
      </c>
    </row>
    <row r="86">
      <c r="A86" s="8" t="inlineStr">
        <is>
          <t>OE25AC1BU1POS.mzML</t>
        </is>
      </c>
      <c r="B86" s="8" t="inlineStr">
        <is>
          <t>OE25AC1BU1POS</t>
        </is>
      </c>
      <c r="C86" s="8" t="inlineStr">
        <is>
          <t>batch_04_OE26-1POS</t>
        </is>
      </c>
      <c r="D86" s="8" t="inlineStr">
        <is>
          <t>Protists</t>
        </is>
      </c>
      <c r="E86" s="9" t="inlineStr">
        <is>
          <t>Discosea</t>
        </is>
      </c>
      <c r="F86" s="8" t="n">
        <v>555280</v>
      </c>
      <c r="G86" s="8" t="inlineStr">
        <is>
          <t>core_candidate</t>
        </is>
      </c>
      <c r="H86" s="8" t="inlineStr">
        <is>
          <t>Protozoa</t>
        </is>
      </c>
      <c r="I86" s="8" t="inlineStr">
        <is>
          <t>Amoebozoa</t>
        </is>
      </c>
      <c r="J86" s="8" t="inlineStr">
        <is>
          <t>yes</t>
        </is>
      </c>
      <c r="K86" s="8" t="inlineStr">
        <is>
          <t>Discosea</t>
        </is>
      </c>
      <c r="L86" s="8" t="inlineStr">
        <is>
          <t>Centramoebida</t>
        </is>
      </c>
      <c r="M86" s="8" t="inlineStr">
        <is>
          <t>Acanthamoebidae</t>
        </is>
      </c>
      <c r="N86" s="8" t="inlineStr">
        <is>
          <t>Acantamoeba castelanii 1BU</t>
        </is>
      </c>
      <c r="O86" s="8" t="n"/>
      <c r="P86" s="8" t="n">
        <v>5755</v>
      </c>
      <c r="Q86" s="8" t="inlineStr">
        <is>
          <t>acan</t>
        </is>
      </c>
      <c r="R86" s="8" t="n"/>
      <c r="S86" s="8" t="n"/>
      <c r="T86" s="8" t="n"/>
      <c r="U86" s="8" t="n"/>
      <c r="V86" s="8" t="n"/>
      <c r="W86" s="8" t="inlineStr">
        <is>
          <t>ncbi-phylum-2026-08-04-v1</t>
        </is>
      </c>
      <c r="X86" s="8" t="inlineStr">
        <is>
          <t>submitted table</t>
        </is>
      </c>
      <c r="Y86" s="8" t="inlineStr">
        <is>
          <t>yes</t>
        </is>
      </c>
    </row>
    <row r="87">
      <c r="A87" s="8" t="inlineStr">
        <is>
          <t>OE25AC1BU3POS.mzML</t>
        </is>
      </c>
      <c r="B87" s="8" t="inlineStr">
        <is>
          <t>OE25AC1BU3POS</t>
        </is>
      </c>
      <c r="C87" s="8" t="inlineStr">
        <is>
          <t>batch_04_OE26-1POS</t>
        </is>
      </c>
      <c r="D87" s="8" t="inlineStr">
        <is>
          <t>Protists</t>
        </is>
      </c>
      <c r="E87" s="9" t="inlineStr">
        <is>
          <t>Discosea</t>
        </is>
      </c>
      <c r="F87" s="8" t="n">
        <v>555280</v>
      </c>
      <c r="G87" s="8" t="inlineStr">
        <is>
          <t>core_candidate</t>
        </is>
      </c>
      <c r="H87" s="8" t="inlineStr">
        <is>
          <t>Protozoa</t>
        </is>
      </c>
      <c r="I87" s="8" t="inlineStr">
        <is>
          <t>Amoebozoa</t>
        </is>
      </c>
      <c r="J87" s="8" t="inlineStr">
        <is>
          <t>yes</t>
        </is>
      </c>
      <c r="K87" s="8" t="inlineStr">
        <is>
          <t>Discosea</t>
        </is>
      </c>
      <c r="L87" s="8" t="inlineStr">
        <is>
          <t>Centramoebida</t>
        </is>
      </c>
      <c r="M87" s="8" t="inlineStr">
        <is>
          <t>Acanthamoebidae</t>
        </is>
      </c>
      <c r="N87" s="8" t="inlineStr">
        <is>
          <t>Acantamoeba castelanii 1BU</t>
        </is>
      </c>
      <c r="O87" s="8" t="n"/>
      <c r="P87" s="8" t="n">
        <v>5755</v>
      </c>
      <c r="Q87" s="8" t="inlineStr">
        <is>
          <t>acan</t>
        </is>
      </c>
      <c r="R87" s="8" t="n"/>
      <c r="S87" s="8" t="n"/>
      <c r="T87" s="8" t="n"/>
      <c r="U87" s="8" t="n"/>
      <c r="V87" s="8" t="n"/>
      <c r="W87" s="8" t="inlineStr">
        <is>
          <t>ncbi-phylum-2026-08-04-v1</t>
        </is>
      </c>
      <c r="X87" s="8" t="inlineStr">
        <is>
          <t>submitted table</t>
        </is>
      </c>
      <c r="Y87" s="8" t="inlineStr">
        <is>
          <t>yes</t>
        </is>
      </c>
    </row>
    <row r="88">
      <c r="A88" s="8" t="inlineStr">
        <is>
          <t>OE25AGS-3POS.mzML</t>
        </is>
      </c>
      <c r="B88" s="8" t="inlineStr">
        <is>
          <t>OE25AGS-3POS</t>
        </is>
      </c>
      <c r="C88" s="8" t="inlineStr">
        <is>
          <t>batch_04_OE26-1POS</t>
        </is>
      </c>
      <c r="D88" s="8" t="inlineStr">
        <is>
          <t>Protists</t>
        </is>
      </c>
      <c r="E88" s="9" t="inlineStr">
        <is>
          <t>Discosea</t>
        </is>
      </c>
      <c r="F88" s="8" t="n">
        <v>555280</v>
      </c>
      <c r="G88" s="8" t="inlineStr">
        <is>
          <t>core_candidate</t>
        </is>
      </c>
      <c r="H88" s="8" t="inlineStr">
        <is>
          <t>Protozoa</t>
        </is>
      </c>
      <c r="I88" s="8" t="inlineStr">
        <is>
          <t>Amoebozoa</t>
        </is>
      </c>
      <c r="J88" s="8" t="inlineStr">
        <is>
          <t>yes</t>
        </is>
      </c>
      <c r="K88" s="8" t="inlineStr">
        <is>
          <t>Discosea</t>
        </is>
      </c>
      <c r="L88" s="8" t="inlineStr">
        <is>
          <t>Centramoebida</t>
        </is>
      </c>
      <c r="M88" s="8" t="inlineStr">
        <is>
          <t>Acanthamoebidae</t>
        </is>
      </c>
      <c r="N88" s="8" t="inlineStr">
        <is>
          <t>Acantamoeba griffini Sawyer</t>
        </is>
      </c>
      <c r="O88" s="8" t="n"/>
      <c r="P88" s="8" t="n">
        <v>5755</v>
      </c>
      <c r="Q88" s="8" t="inlineStr">
        <is>
          <t>acan</t>
        </is>
      </c>
      <c r="R88" s="8" t="n"/>
      <c r="S88" s="8" t="n"/>
      <c r="T88" s="8" t="n"/>
      <c r="U88" s="8" t="n"/>
      <c r="V88" s="8" t="n"/>
      <c r="W88" s="8" t="inlineStr">
        <is>
          <t>ncbi-phylum-2026-08-04-v1</t>
        </is>
      </c>
      <c r="X88" s="8" t="inlineStr">
        <is>
          <t>submitted table</t>
        </is>
      </c>
      <c r="Y88" s="8" t="inlineStr">
        <is>
          <t>yes</t>
        </is>
      </c>
    </row>
    <row r="89">
      <c r="A89" s="8" t="inlineStr">
        <is>
          <t>Cafeteria_algaeOE25CaferRCC970POS.mzML</t>
        </is>
      </c>
      <c r="B89" s="8" t="inlineStr">
        <is>
          <t>OE25CaferRCC970POS</t>
        </is>
      </c>
      <c r="C89" s="8" t="inlineStr">
        <is>
          <t>batch_04_OE26-1POS</t>
        </is>
      </c>
      <c r="D89" s="8" t="n"/>
      <c r="E89" s="9" t="n"/>
      <c r="F89" s="8" t="n"/>
      <c r="G89" s="8" t="inlineStr">
        <is>
          <t>descriptive_only</t>
        </is>
      </c>
      <c r="H89" s="8" t="inlineStr">
        <is>
          <t>Protozoa</t>
        </is>
      </c>
      <c r="I89" s="8" t="inlineStr">
        <is>
          <t>Bicosoecida</t>
        </is>
      </c>
      <c r="J89" s="8" t="inlineStr">
        <is>
          <t>yes</t>
        </is>
      </c>
      <c r="K89" s="8" t="inlineStr">
        <is>
          <t>Bikosea</t>
        </is>
      </c>
      <c r="L89" s="8" t="inlineStr">
        <is>
          <t>Bicosoecida</t>
        </is>
      </c>
      <c r="M89" s="8" t="inlineStr">
        <is>
          <t>Cafeteriaceae</t>
        </is>
      </c>
      <c r="N89" s="8" t="inlineStr">
        <is>
          <t>Cafeteria</t>
        </is>
      </c>
      <c r="O89" s="8" t="inlineStr">
        <is>
          <t>Cafeteria algaeOE25CaferRCC970POS.mzML</t>
        </is>
      </c>
      <c r="P89" s="8" t="n">
        <v>33653</v>
      </c>
      <c r="Q89" s="8" t="n"/>
      <c r="R89" s="8" t="n"/>
      <c r="S89" s="8" t="n"/>
      <c r="T89" s="8" t="n"/>
      <c r="U89" s="8" t="n"/>
      <c r="V89" s="8" t="n"/>
      <c r="W89" s="8" t="inlineStr">
        <is>
          <t>ncbi-phylum-2026-08-04-v1</t>
        </is>
      </c>
      <c r="X89" s="8" t="inlineStr">
        <is>
          <t>submitted table</t>
        </is>
      </c>
      <c r="Y89" s="8" t="inlineStr">
        <is>
          <t>no</t>
        </is>
      </c>
    </row>
    <row r="90">
      <c r="A90" s="8" t="inlineStr">
        <is>
          <t>Aspergillus_brasiliensis_OE25DSM1988POS.mzML</t>
        </is>
      </c>
      <c r="B90" s="8" t="inlineStr">
        <is>
          <t>DSM1988POS</t>
        </is>
      </c>
      <c r="C90" s="8" t="inlineStr">
        <is>
          <t>batch_04_OE26-1POS</t>
        </is>
      </c>
      <c r="D90" s="8" t="n"/>
      <c r="E90" s="9" t="n"/>
      <c r="F90" s="8" t="n"/>
      <c r="G90" s="8" t="inlineStr">
        <is>
          <t>excluded</t>
        </is>
      </c>
      <c r="H90" s="8" t="inlineStr">
        <is>
          <t>Fungi</t>
        </is>
      </c>
      <c r="I90" s="8" t="inlineStr">
        <is>
          <t>Ascomycota</t>
        </is>
      </c>
      <c r="J90" s="8" t="inlineStr">
        <is>
          <t>yes</t>
        </is>
      </c>
      <c r="K90" s="8" t="inlineStr">
        <is>
          <t>Eurotiomycetes</t>
        </is>
      </c>
      <c r="L90" s="8" t="inlineStr">
        <is>
          <t>Eurotiales</t>
        </is>
      </c>
      <c r="M90" s="8" t="inlineStr">
        <is>
          <t>Aspergillaceae</t>
        </is>
      </c>
      <c r="N90" s="8" t="inlineStr">
        <is>
          <t>Aspergillus</t>
        </is>
      </c>
      <c r="O90" s="8" t="inlineStr">
        <is>
          <t>Aspergillus brasiliensis</t>
        </is>
      </c>
      <c r="P90" s="8" t="n">
        <v>319629</v>
      </c>
      <c r="Q90" s="8" t="inlineStr">
        <is>
          <t>anig</t>
        </is>
      </c>
      <c r="R90" s="8" t="n"/>
      <c r="S90" s="8" t="inlineStr">
        <is>
          <t>MEB</t>
        </is>
      </c>
      <c r="T90" s="8" t="n">
        <v>22</v>
      </c>
      <c r="U90" s="8" t="inlineStr">
        <is>
          <t>aerobic</t>
        </is>
      </c>
      <c r="V90" s="8" t="n">
        <v>5.6</v>
      </c>
      <c r="W90" s="8" t="inlineStr">
        <is>
          <t>ncbi-phylum-2026-08-04-v1</t>
        </is>
      </c>
      <c r="X90" s="8" t="inlineStr">
        <is>
          <t>submitted table</t>
        </is>
      </c>
      <c r="Y90" s="8" t="inlineStr">
        <is>
          <t>no</t>
        </is>
      </c>
    </row>
    <row r="91">
      <c r="A91" s="8" t="inlineStr">
        <is>
          <t>Escherichia_coli_OE25ECOLI1POS.mzML</t>
        </is>
      </c>
      <c r="B91" s="8" t="inlineStr">
        <is>
          <t>OE25ECOLI1POS</t>
        </is>
      </c>
      <c r="C91" s="8" t="inlineStr">
        <is>
          <t>batch_04_OE26-1POS</t>
        </is>
      </c>
      <c r="D91" s="8" t="inlineStr">
        <is>
          <t>Bacteria</t>
        </is>
      </c>
      <c r="E91" s="8" t="inlineStr">
        <is>
          <t>Pseudomonadota</t>
        </is>
      </c>
      <c r="F91" s="8" t="n">
        <v>1224</v>
      </c>
      <c r="G91" s="8" t="inlineStr">
        <is>
          <t>core_candidate</t>
        </is>
      </c>
      <c r="H91" s="8" t="inlineStr">
        <is>
          <t>Bacteria</t>
        </is>
      </c>
      <c r="I91" s="8" t="inlineStr">
        <is>
          <t>Pseudomonadota</t>
        </is>
      </c>
      <c r="J91" s="8" t="n"/>
      <c r="K91" s="8" t="inlineStr">
        <is>
          <t>Gammaproteobacteria</t>
        </is>
      </c>
      <c r="L91" s="8" t="inlineStr">
        <is>
          <t>Enterobacterales</t>
        </is>
      </c>
      <c r="M91" s="8" t="inlineStr">
        <is>
          <t>Enterobacteriaceae</t>
        </is>
      </c>
      <c r="N91" s="8" t="inlineStr">
        <is>
          <t>Escherichia</t>
        </is>
      </c>
      <c r="O91" s="8" t="inlineStr">
        <is>
          <t>Escherichia coli</t>
        </is>
      </c>
      <c r="P91" s="8" t="n">
        <v>562</v>
      </c>
      <c r="Q91" s="8" t="inlineStr">
        <is>
          <t>eco</t>
        </is>
      </c>
      <c r="R91" s="8" t="n"/>
      <c r="S91" s="8" t="n"/>
      <c r="T91" s="8" t="n"/>
      <c r="U91" s="8" t="n"/>
      <c r="V91" s="8" t="n"/>
      <c r="W91" s="8" t="inlineStr">
        <is>
          <t>ncbi-phylum-2026-08-04-v1</t>
        </is>
      </c>
      <c r="X91" s="8" t="inlineStr">
        <is>
          <t>submitted table</t>
        </is>
      </c>
      <c r="Y91" s="8" t="inlineStr">
        <is>
          <t>yes</t>
        </is>
      </c>
    </row>
    <row r="92">
      <c r="A92" s="8" t="inlineStr">
        <is>
          <t>Escherichia_coli_OE25ECOLI2POS.mzML</t>
        </is>
      </c>
      <c r="B92" s="8" t="inlineStr">
        <is>
          <t>OE25ECOLI2POS</t>
        </is>
      </c>
      <c r="C92" s="8" t="inlineStr">
        <is>
          <t>batch_04_OE26-1POS</t>
        </is>
      </c>
      <c r="D92" s="8" t="inlineStr">
        <is>
          <t>Bacteria</t>
        </is>
      </c>
      <c r="E92" s="8" t="inlineStr">
        <is>
          <t>Pseudomonadota</t>
        </is>
      </c>
      <c r="F92" s="8" t="n">
        <v>1224</v>
      </c>
      <c r="G92" s="8" t="inlineStr">
        <is>
          <t>core_candidate</t>
        </is>
      </c>
      <c r="H92" s="8" t="inlineStr">
        <is>
          <t>Bacteria</t>
        </is>
      </c>
      <c r="I92" s="8" t="inlineStr">
        <is>
          <t>Pseudomonadota</t>
        </is>
      </c>
      <c r="J92" s="8" t="n"/>
      <c r="K92" s="8" t="inlineStr">
        <is>
          <t>Gammaproteobacteria</t>
        </is>
      </c>
      <c r="L92" s="8" t="inlineStr">
        <is>
          <t>Enterobacterales</t>
        </is>
      </c>
      <c r="M92" s="8" t="inlineStr">
        <is>
          <t>Enterobacteriaceae</t>
        </is>
      </c>
      <c r="N92" s="8" t="inlineStr">
        <is>
          <t>Escherichia</t>
        </is>
      </c>
      <c r="O92" s="8" t="inlineStr">
        <is>
          <t>Escherichia coli</t>
        </is>
      </c>
      <c r="P92" s="8" t="n">
        <v>562</v>
      </c>
      <c r="Q92" s="8" t="inlineStr">
        <is>
          <t>eco</t>
        </is>
      </c>
      <c r="R92" s="8" t="n"/>
      <c r="S92" s="8" t="n"/>
      <c r="T92" s="8" t="n"/>
      <c r="U92" s="8" t="n"/>
      <c r="V92" s="8" t="n"/>
      <c r="W92" s="8" t="inlineStr">
        <is>
          <t>ncbi-phylum-2026-08-04-v1</t>
        </is>
      </c>
      <c r="X92" s="8" t="inlineStr">
        <is>
          <t>submitted table</t>
        </is>
      </c>
      <c r="Y92" s="8" t="inlineStr">
        <is>
          <t>yes</t>
        </is>
      </c>
    </row>
    <row r="93">
      <c r="A93" s="8" t="inlineStr">
        <is>
          <t>Escherichia_coli_OE25ECOLI3POS.mzML</t>
        </is>
      </c>
      <c r="B93" s="8" t="inlineStr">
        <is>
          <t>OE25ECOLI3POS</t>
        </is>
      </c>
      <c r="C93" s="8" t="inlineStr">
        <is>
          <t>batch_04_OE26-1POS</t>
        </is>
      </c>
      <c r="D93" s="8" t="inlineStr">
        <is>
          <t>Bacteria</t>
        </is>
      </c>
      <c r="E93" s="8" t="inlineStr">
        <is>
          <t>Pseudomonadota</t>
        </is>
      </c>
      <c r="F93" s="8" t="n">
        <v>1224</v>
      </c>
      <c r="G93" s="8" t="inlineStr">
        <is>
          <t>core_candidate</t>
        </is>
      </c>
      <c r="H93" s="8" t="inlineStr">
        <is>
          <t>Bacteria</t>
        </is>
      </c>
      <c r="I93" s="8" t="inlineStr">
        <is>
          <t>Pseudomonadota</t>
        </is>
      </c>
      <c r="J93" s="8" t="n"/>
      <c r="K93" s="8" t="inlineStr">
        <is>
          <t>Gammaproteobacteria</t>
        </is>
      </c>
      <c r="L93" s="8" t="inlineStr">
        <is>
          <t>Enterobacterales</t>
        </is>
      </c>
      <c r="M93" s="8" t="inlineStr">
        <is>
          <t>Enterobacteriaceae</t>
        </is>
      </c>
      <c r="N93" s="8" t="inlineStr">
        <is>
          <t>Escherichia</t>
        </is>
      </c>
      <c r="O93" s="8" t="inlineStr">
        <is>
          <t>Escherichia coli</t>
        </is>
      </c>
      <c r="P93" s="8" t="n">
        <v>562</v>
      </c>
      <c r="Q93" s="8" t="inlineStr">
        <is>
          <t>eco</t>
        </is>
      </c>
      <c r="R93" s="8" t="n"/>
      <c r="S93" s="8" t="n"/>
      <c r="T93" s="8" t="n"/>
      <c r="U93" s="8" t="n"/>
      <c r="V93" s="8" t="n"/>
      <c r="W93" s="8" t="inlineStr">
        <is>
          <t>ncbi-phylum-2026-08-04-v1</t>
        </is>
      </c>
      <c r="X93" s="8" t="inlineStr">
        <is>
          <t>submitted table</t>
        </is>
      </c>
      <c r="Y93" s="8" t="inlineStr">
        <is>
          <t>yes</t>
        </is>
      </c>
    </row>
    <row r="94">
      <c r="A94" s="8" t="inlineStr">
        <is>
          <t>Agaricus_bisporus_OE25F11POS.mzML</t>
        </is>
      </c>
      <c r="B94" s="8" t="inlineStr">
        <is>
          <t>OE25F11POS</t>
        </is>
      </c>
      <c r="C94" s="8" t="inlineStr">
        <is>
          <t>batch_04_OE26-1POS</t>
        </is>
      </c>
      <c r="D94" s="8" t="inlineStr">
        <is>
          <t>Fungi</t>
        </is>
      </c>
      <c r="E94" s="8" t="inlineStr">
        <is>
          <t>Basidiomycota</t>
        </is>
      </c>
      <c r="F94" s="8" t="n">
        <v>5204</v>
      </c>
      <c r="G94" s="8" t="inlineStr">
        <is>
          <t>core_candidate</t>
        </is>
      </c>
      <c r="H94" s="8" t="inlineStr">
        <is>
          <t>Fungi</t>
        </is>
      </c>
      <c r="I94" s="8" t="inlineStr">
        <is>
          <t>Basidiomycota</t>
        </is>
      </c>
      <c r="J94" s="8" t="n"/>
      <c r="K94" s="8" t="inlineStr">
        <is>
          <t>Agaricomycetes</t>
        </is>
      </c>
      <c r="L94" s="8" t="inlineStr">
        <is>
          <t>Agaricales</t>
        </is>
      </c>
      <c r="M94" s="8" t="inlineStr">
        <is>
          <t>Agaricaceae</t>
        </is>
      </c>
      <c r="N94" s="8" t="inlineStr">
        <is>
          <t>Agaricus</t>
        </is>
      </c>
      <c r="O94" s="8" t="inlineStr">
        <is>
          <t>Agaricus bisporus</t>
        </is>
      </c>
      <c r="P94" s="8" t="n">
        <v>5341</v>
      </c>
      <c r="Q94" s="8" t="inlineStr">
        <is>
          <t>abv</t>
        </is>
      </c>
      <c r="R94" s="8" t="n"/>
      <c r="S94" s="8" t="inlineStr">
        <is>
          <t>N/A - fruiting body</t>
        </is>
      </c>
      <c r="T94" s="8" t="n"/>
      <c r="U94" s="8" t="n"/>
      <c r="V94" s="8" t="n"/>
      <c r="W94" s="8" t="inlineStr">
        <is>
          <t>ncbi-phylum-2026-08-04-v1</t>
        </is>
      </c>
      <c r="X94" s="8" t="inlineStr">
        <is>
          <t>submitted table</t>
        </is>
      </c>
      <c r="Y94" s="8" t="inlineStr">
        <is>
          <t>yes</t>
        </is>
      </c>
    </row>
    <row r="95">
      <c r="A95" s="8" t="inlineStr">
        <is>
          <t>Morchella_elata_OE25F13POS.mzML</t>
        </is>
      </c>
      <c r="B95" s="8" t="inlineStr">
        <is>
          <t>OE25F13POS</t>
        </is>
      </c>
      <c r="C95" s="8" t="inlineStr">
        <is>
          <t>batch_04_OE26-1POS</t>
        </is>
      </c>
      <c r="D95" s="8" t="inlineStr">
        <is>
          <t>Fungi</t>
        </is>
      </c>
      <c r="E95" s="8" t="inlineStr">
        <is>
          <t>Ascomycota</t>
        </is>
      </c>
      <c r="F95" s="8" t="n">
        <v>4890</v>
      </c>
      <c r="G95" s="8" t="inlineStr">
        <is>
          <t>core_candidate</t>
        </is>
      </c>
      <c r="H95" s="8" t="inlineStr">
        <is>
          <t>Fungi</t>
        </is>
      </c>
      <c r="I95" s="8" t="inlineStr">
        <is>
          <t>Ascomycota</t>
        </is>
      </c>
      <c r="J95" s="8" t="n"/>
      <c r="K95" s="8" t="inlineStr">
        <is>
          <t>Pezizomycetes</t>
        </is>
      </c>
      <c r="L95" s="8" t="inlineStr">
        <is>
          <t>Pezizales</t>
        </is>
      </c>
      <c r="M95" s="8" t="inlineStr">
        <is>
          <t>Morchellaceae</t>
        </is>
      </c>
      <c r="N95" s="8" t="inlineStr">
        <is>
          <t>Morchella</t>
        </is>
      </c>
      <c r="O95" s="8" t="inlineStr">
        <is>
          <t>Morchella elata</t>
        </is>
      </c>
      <c r="P95" s="8" t="n">
        <v>39930</v>
      </c>
      <c r="Q95" s="8" t="n"/>
      <c r="R95" s="8" t="n"/>
      <c r="S95" s="8" t="inlineStr">
        <is>
          <t>N/A - fruiting body</t>
        </is>
      </c>
      <c r="T95" s="8" t="n"/>
      <c r="U95" s="8" t="n"/>
      <c r="V95" s="8" t="n"/>
      <c r="W95" s="8" t="inlineStr">
        <is>
          <t>ncbi-phylum-2026-08-04-v1</t>
        </is>
      </c>
      <c r="X95" s="8" t="inlineStr">
        <is>
          <t>submitted table</t>
        </is>
      </c>
      <c r="Y95" s="8" t="inlineStr">
        <is>
          <t>yes</t>
        </is>
      </c>
    </row>
    <row r="96">
      <c r="A96" s="8" t="inlineStr">
        <is>
          <t>Amanita_caesarea_OE25F15POS.mzML</t>
        </is>
      </c>
      <c r="B96" s="8" t="inlineStr">
        <is>
          <t>OE25F15POS</t>
        </is>
      </c>
      <c r="C96" s="8" t="inlineStr">
        <is>
          <t>batch_04_OE26-1POS</t>
        </is>
      </c>
      <c r="D96" s="8" t="inlineStr">
        <is>
          <t>Fungi</t>
        </is>
      </c>
      <c r="E96" s="8" t="inlineStr">
        <is>
          <t>Basidiomycota</t>
        </is>
      </c>
      <c r="F96" s="8" t="n">
        <v>5204</v>
      </c>
      <c r="G96" s="8" t="inlineStr">
        <is>
          <t>core_candidate</t>
        </is>
      </c>
      <c r="H96" s="8" t="inlineStr">
        <is>
          <t>Fungi</t>
        </is>
      </c>
      <c r="I96" s="8" t="inlineStr">
        <is>
          <t>Basidiomycota</t>
        </is>
      </c>
      <c r="J96" s="8" t="n"/>
      <c r="K96" s="8" t="inlineStr">
        <is>
          <t>Agaricomycetes</t>
        </is>
      </c>
      <c r="L96" s="8" t="inlineStr">
        <is>
          <t>Agaricales</t>
        </is>
      </c>
      <c r="M96" s="8" t="inlineStr">
        <is>
          <t>Amanitaceae</t>
        </is>
      </c>
      <c r="N96" s="8" t="inlineStr">
        <is>
          <t>Amanita</t>
        </is>
      </c>
      <c r="O96" s="8" t="inlineStr">
        <is>
          <t>Amanita caesarea</t>
        </is>
      </c>
      <c r="P96" s="8" t="n">
        <v>67695</v>
      </c>
      <c r="Q96" s="8" t="n"/>
      <c r="R96" s="8" t="n"/>
      <c r="S96" s="8" t="inlineStr">
        <is>
          <t>N/A - fruiting body</t>
        </is>
      </c>
      <c r="T96" s="8" t="n"/>
      <c r="U96" s="8" t="n"/>
      <c r="V96" s="8" t="n"/>
      <c r="W96" s="8" t="inlineStr">
        <is>
          <t>ncbi-phylum-2026-08-04-v1</t>
        </is>
      </c>
      <c r="X96" s="8" t="inlineStr">
        <is>
          <t>submitted table</t>
        </is>
      </c>
      <c r="Y96" s="8" t="inlineStr">
        <is>
          <t>yes</t>
        </is>
      </c>
    </row>
    <row r="97">
      <c r="A97" s="8" t="inlineStr">
        <is>
          <t>Periconia_macrospinosa_OE25F1POS.mzML</t>
        </is>
      </c>
      <c r="B97" s="8" t="inlineStr">
        <is>
          <t>OE25F1POS</t>
        </is>
      </c>
      <c r="C97" s="8" t="inlineStr">
        <is>
          <t>batch_04_OE26-1POS</t>
        </is>
      </c>
      <c r="D97" s="8" t="inlineStr">
        <is>
          <t>Fungi</t>
        </is>
      </c>
      <c r="E97" s="8" t="inlineStr">
        <is>
          <t>Ascomycota</t>
        </is>
      </c>
      <c r="F97" s="8" t="n">
        <v>4890</v>
      </c>
      <c r="G97" s="8" t="inlineStr">
        <is>
          <t>core_candidate</t>
        </is>
      </c>
      <c r="H97" s="8" t="inlineStr">
        <is>
          <t>Fungi</t>
        </is>
      </c>
      <c r="I97" s="8" t="inlineStr">
        <is>
          <t>Ascomycota</t>
        </is>
      </c>
      <c r="J97" s="8" t="n"/>
      <c r="K97" s="8" t="inlineStr">
        <is>
          <t>Dothideomycetes</t>
        </is>
      </c>
      <c r="L97" s="8" t="inlineStr">
        <is>
          <t>Pleosporales</t>
        </is>
      </c>
      <c r="M97" s="8" t="inlineStr">
        <is>
          <t>Periconiaceae</t>
        </is>
      </c>
      <c r="N97" s="8" t="inlineStr">
        <is>
          <t>Periconia</t>
        </is>
      </c>
      <c r="O97" s="8" t="inlineStr">
        <is>
          <t>Periconia macrospinosa</t>
        </is>
      </c>
      <c r="P97" s="8" t="n">
        <v>97972</v>
      </c>
      <c r="Q97" s="8" t="n"/>
      <c r="R97" s="8" t="n"/>
      <c r="S97" s="8" t="inlineStr">
        <is>
          <t>191</t>
        </is>
      </c>
      <c r="T97" s="8" t="n">
        <v>26</v>
      </c>
      <c r="U97" s="8" t="inlineStr">
        <is>
          <t>aerobic</t>
        </is>
      </c>
      <c r="V97" s="8" t="n"/>
      <c r="W97" s="8" t="inlineStr">
        <is>
          <t>ncbi-phylum-2026-08-04-v1</t>
        </is>
      </c>
      <c r="X97" s="8" t="inlineStr">
        <is>
          <t>submitted table</t>
        </is>
      </c>
      <c r="Y97" s="8" t="inlineStr">
        <is>
          <t>yes</t>
        </is>
      </c>
    </row>
    <row r="98">
      <c r="A98" s="8" t="inlineStr">
        <is>
          <t>Trichoderma_flavofuscum_OE25F2POS.mzML</t>
        </is>
      </c>
      <c r="B98" s="8" t="inlineStr">
        <is>
          <t>OE25F2POS</t>
        </is>
      </c>
      <c r="C98" s="8" t="inlineStr">
        <is>
          <t>batch_04_OE26-1POS</t>
        </is>
      </c>
      <c r="D98" s="8" t="inlineStr">
        <is>
          <t>Fungi</t>
        </is>
      </c>
      <c r="E98" s="8" t="inlineStr">
        <is>
          <t>Ascomycota</t>
        </is>
      </c>
      <c r="F98" s="8" t="n">
        <v>4890</v>
      </c>
      <c r="G98" s="8" t="inlineStr">
        <is>
          <t>core_candidate</t>
        </is>
      </c>
      <c r="H98" s="8" t="inlineStr">
        <is>
          <t>Fungi</t>
        </is>
      </c>
      <c r="I98" s="8" t="inlineStr">
        <is>
          <t>Ascomycota</t>
        </is>
      </c>
      <c r="J98" s="8" t="n"/>
      <c r="K98" s="8" t="inlineStr">
        <is>
          <t>Sordariomycetes</t>
        </is>
      </c>
      <c r="L98" s="8" t="inlineStr">
        <is>
          <t>Hypocreales</t>
        </is>
      </c>
      <c r="M98" s="8" t="inlineStr">
        <is>
          <t>Hypocreaceae</t>
        </is>
      </c>
      <c r="N98" s="8" t="inlineStr">
        <is>
          <t>Trichoderma</t>
        </is>
      </c>
      <c r="O98" s="8" t="inlineStr">
        <is>
          <t>Trichoderma flavofuscum</t>
        </is>
      </c>
      <c r="P98" s="8" t="n">
        <v>29875</v>
      </c>
      <c r="Q98" s="8" t="inlineStr">
        <is>
          <t>tre</t>
        </is>
      </c>
      <c r="R98" s="8" t="n"/>
      <c r="S98" s="8" t="inlineStr">
        <is>
          <t>129</t>
        </is>
      </c>
      <c r="T98" s="8" t="n">
        <v>26</v>
      </c>
      <c r="U98" s="8" t="inlineStr">
        <is>
          <t>aerobic</t>
        </is>
      </c>
      <c r="V98" s="8" t="n"/>
      <c r="W98" s="8" t="inlineStr">
        <is>
          <t>ncbi-phylum-2026-08-04-v1</t>
        </is>
      </c>
      <c r="X98" s="8" t="inlineStr">
        <is>
          <t>submitted table</t>
        </is>
      </c>
      <c r="Y98" s="8" t="inlineStr">
        <is>
          <t>yes</t>
        </is>
      </c>
    </row>
    <row r="99">
      <c r="A99" s="8" t="inlineStr">
        <is>
          <t>Schizosaccharomyces_pombe_OE25F30POS.mzML</t>
        </is>
      </c>
      <c r="B99" s="8" t="inlineStr">
        <is>
          <t>OE25F30POS</t>
        </is>
      </c>
      <c r="C99" s="8" t="inlineStr">
        <is>
          <t>batch_04_OE26-1POS</t>
        </is>
      </c>
      <c r="D99" s="8" t="inlineStr">
        <is>
          <t>Fungi</t>
        </is>
      </c>
      <c r="E99" s="8" t="inlineStr">
        <is>
          <t>Ascomycota</t>
        </is>
      </c>
      <c r="F99" s="8" t="n">
        <v>4890</v>
      </c>
      <c r="G99" s="8" t="inlineStr">
        <is>
          <t>core_candidate</t>
        </is>
      </c>
      <c r="H99" s="8" t="inlineStr">
        <is>
          <t>Fungi</t>
        </is>
      </c>
      <c r="I99" s="8" t="inlineStr">
        <is>
          <t>Ascomycota</t>
        </is>
      </c>
      <c r="J99" s="8" t="n"/>
      <c r="K99" s="8" t="inlineStr">
        <is>
          <t>Schizosaccharomycetes</t>
        </is>
      </c>
      <c r="L99" s="8" t="inlineStr">
        <is>
          <t>Schizosaccharomycetales</t>
        </is>
      </c>
      <c r="M99" s="8" t="inlineStr">
        <is>
          <t>Schizosaccharomycetaceae</t>
        </is>
      </c>
      <c r="N99" s="8" t="inlineStr">
        <is>
          <t>Schizosaccharomyces</t>
        </is>
      </c>
      <c r="O99" s="8" t="inlineStr">
        <is>
          <t>Schizosaccharomyces pombe</t>
        </is>
      </c>
      <c r="P99" s="8" t="n">
        <v>4896</v>
      </c>
      <c r="Q99" s="8" t="inlineStr">
        <is>
          <t>spo</t>
        </is>
      </c>
      <c r="R99" s="8" t="n"/>
      <c r="S99" s="8" t="inlineStr">
        <is>
          <t>MEB</t>
        </is>
      </c>
      <c r="T99" s="8" t="n">
        <v>22</v>
      </c>
      <c r="U99" s="8" t="inlineStr">
        <is>
          <t>aerobic</t>
        </is>
      </c>
      <c r="V99" s="8" t="n">
        <v>5.6</v>
      </c>
      <c r="W99" s="8" t="inlineStr">
        <is>
          <t>ncbi-phylum-2026-08-04-v1</t>
        </is>
      </c>
      <c r="X99" s="8" t="inlineStr">
        <is>
          <t>submitted table</t>
        </is>
      </c>
      <c r="Y99" s="8" t="inlineStr">
        <is>
          <t>yes</t>
        </is>
      </c>
    </row>
    <row r="100">
      <c r="A100" s="8" t="inlineStr">
        <is>
          <t>Mortierella_gamsii_wm14d1_OE25F31POS.mzML</t>
        </is>
      </c>
      <c r="B100" s="8" t="inlineStr">
        <is>
          <t>OE25F31POS</t>
        </is>
      </c>
      <c r="C100" s="8" t="inlineStr">
        <is>
          <t>batch_04_OE26-1POS</t>
        </is>
      </c>
      <c r="D100" s="8" t="inlineStr">
        <is>
          <t>Fungi</t>
        </is>
      </c>
      <c r="E100" s="9" t="inlineStr">
        <is>
          <t>Mortierellomycota</t>
        </is>
      </c>
      <c r="F100" s="8" t="n">
        <v>3705878</v>
      </c>
      <c r="G100" s="8" t="inlineStr">
        <is>
          <t>core_candidate</t>
        </is>
      </c>
      <c r="H100" s="8" t="inlineStr">
        <is>
          <t>Fungi</t>
        </is>
      </c>
      <c r="I100" s="8" t="inlineStr">
        <is>
          <t>Mucoromycota</t>
        </is>
      </c>
      <c r="J100" s="8" t="inlineStr">
        <is>
          <t>yes</t>
        </is>
      </c>
      <c r="K100" s="8" t="inlineStr">
        <is>
          <t>Mortierellomycetes</t>
        </is>
      </c>
      <c r="L100" s="8" t="inlineStr">
        <is>
          <t>Mortierellales</t>
        </is>
      </c>
      <c r="M100" s="8" t="inlineStr">
        <is>
          <t>Mortierellaceae</t>
        </is>
      </c>
      <c r="N100" s="8" t="inlineStr">
        <is>
          <t>Mortierella</t>
        </is>
      </c>
      <c r="O100" s="8" t="inlineStr">
        <is>
          <t>Mortierella gamsii</t>
        </is>
      </c>
      <c r="P100" s="8" t="n">
        <v>1491961</v>
      </c>
      <c r="Q100" s="8" t="n"/>
      <c r="R100" s="8" t="n"/>
      <c r="S100" s="8" t="inlineStr">
        <is>
          <t>MEB</t>
        </is>
      </c>
      <c r="T100" s="8" t="n">
        <v>22</v>
      </c>
      <c r="U100" s="8" t="inlineStr">
        <is>
          <t>aerobic</t>
        </is>
      </c>
      <c r="V100" s="8" t="n">
        <v>5.6</v>
      </c>
      <c r="W100" s="8" t="inlineStr">
        <is>
          <t>ncbi-phylum-2026-08-04-v1</t>
        </is>
      </c>
      <c r="X100" s="8" t="inlineStr">
        <is>
          <t>submitted table</t>
        </is>
      </c>
      <c r="Y100" s="8" t="inlineStr">
        <is>
          <t>yes</t>
        </is>
      </c>
    </row>
    <row r="101">
      <c r="A101" s="8" t="inlineStr">
        <is>
          <t>Rhizopus_oryzae_OE25F32POS.mzML</t>
        </is>
      </c>
      <c r="B101" s="8" t="inlineStr">
        <is>
          <t>OE25F32POS</t>
        </is>
      </c>
      <c r="C101" s="8" t="inlineStr">
        <is>
          <t>batch_04_OE26-1POS</t>
        </is>
      </c>
      <c r="D101" s="8" t="inlineStr">
        <is>
          <t>Fungi</t>
        </is>
      </c>
      <c r="E101" s="8" t="inlineStr">
        <is>
          <t>Mucoromycota</t>
        </is>
      </c>
      <c r="F101" s="8" t="n">
        <v>1913637</v>
      </c>
      <c r="G101" s="8" t="inlineStr">
        <is>
          <t>core_candidate</t>
        </is>
      </c>
      <c r="H101" s="8" t="inlineStr">
        <is>
          <t>Fungi</t>
        </is>
      </c>
      <c r="I101" s="8" t="inlineStr">
        <is>
          <t>Mucoromycota</t>
        </is>
      </c>
      <c r="J101" s="8" t="n"/>
      <c r="K101" s="8" t="inlineStr">
        <is>
          <t>Mucoromycetes</t>
        </is>
      </c>
      <c r="L101" s="8" t="inlineStr">
        <is>
          <t>Mucorales</t>
        </is>
      </c>
      <c r="M101" s="8" t="inlineStr">
        <is>
          <t>Rhizopodaceae</t>
        </is>
      </c>
      <c r="N101" s="8" t="inlineStr">
        <is>
          <t>Rhizopus</t>
        </is>
      </c>
      <c r="O101" s="8" t="inlineStr">
        <is>
          <t>Rhizopus oryzae</t>
        </is>
      </c>
      <c r="P101" s="8" t="n">
        <v>64495</v>
      </c>
      <c r="Q101" s="8" t="n"/>
      <c r="R101" s="8" t="n"/>
      <c r="S101" s="8" t="inlineStr">
        <is>
          <t>MEB</t>
        </is>
      </c>
      <c r="T101" s="8" t="n">
        <v>22</v>
      </c>
      <c r="U101" s="8" t="inlineStr">
        <is>
          <t>aerobic</t>
        </is>
      </c>
      <c r="V101" s="8" t="n">
        <v>5.6</v>
      </c>
      <c r="W101" s="8" t="inlineStr">
        <is>
          <t>ncbi-phylum-2026-08-04-v1</t>
        </is>
      </c>
      <c r="X101" s="8" t="inlineStr">
        <is>
          <t>submitted table</t>
        </is>
      </c>
      <c r="Y101" s="8" t="inlineStr">
        <is>
          <t>yes</t>
        </is>
      </c>
    </row>
    <row r="102">
      <c r="A102" s="8" t="inlineStr">
        <is>
          <t>Cadophora_finlandica_PRF-15_OE25F34POS.mzML</t>
        </is>
      </c>
      <c r="B102" s="8" t="inlineStr">
        <is>
          <t>OE25F34POS</t>
        </is>
      </c>
      <c r="C102" s="8" t="inlineStr">
        <is>
          <t>batch_04_OE26-1POS</t>
        </is>
      </c>
      <c r="D102" s="8" t="inlineStr">
        <is>
          <t>Fungi</t>
        </is>
      </c>
      <c r="E102" s="8" t="inlineStr">
        <is>
          <t>Ascomycota</t>
        </is>
      </c>
      <c r="F102" s="8" t="n">
        <v>4890</v>
      </c>
      <c r="G102" s="8" t="inlineStr">
        <is>
          <t>core_candidate</t>
        </is>
      </c>
      <c r="H102" s="8" t="inlineStr">
        <is>
          <t>Fungi</t>
        </is>
      </c>
      <c r="I102" s="8" t="inlineStr">
        <is>
          <t>Ascomycota</t>
        </is>
      </c>
      <c r="J102" s="8" t="n"/>
      <c r="K102" s="8" t="inlineStr">
        <is>
          <t>Leotiomycetes</t>
        </is>
      </c>
      <c r="L102" s="8" t="inlineStr">
        <is>
          <t>Helotiales</t>
        </is>
      </c>
      <c r="M102" s="8" t="inlineStr">
        <is>
          <t>Ploettnerulaceae</t>
        </is>
      </c>
      <c r="N102" s="8" t="inlineStr">
        <is>
          <t>Cadophora</t>
        </is>
      </c>
      <c r="O102" s="8" t="inlineStr">
        <is>
          <t>Cadophora finlandica</t>
        </is>
      </c>
      <c r="P102" s="8" t="n">
        <v>62723</v>
      </c>
      <c r="Q102" s="8" t="n"/>
      <c r="R102" s="8" t="n"/>
      <c r="S102" s="8" t="inlineStr">
        <is>
          <t>MEB</t>
        </is>
      </c>
      <c r="T102" s="8" t="n">
        <v>22</v>
      </c>
      <c r="U102" s="8" t="inlineStr">
        <is>
          <t>aerobic</t>
        </is>
      </c>
      <c r="V102" s="8" t="n">
        <v>5.6</v>
      </c>
      <c r="W102" s="8" t="inlineStr">
        <is>
          <t>ncbi-phylum-2026-08-04-v1</t>
        </is>
      </c>
      <c r="X102" s="8" t="inlineStr">
        <is>
          <t>submitted table</t>
        </is>
      </c>
      <c r="Y102" s="8" t="inlineStr">
        <is>
          <t>yes</t>
        </is>
      </c>
    </row>
    <row r="103">
      <c r="A103" s="8" t="inlineStr">
        <is>
          <t>Peziza_ostracoderma_SH190_OE25F36POS.mzML</t>
        </is>
      </c>
      <c r="B103" s="8" t="inlineStr">
        <is>
          <t>OE25F36POS</t>
        </is>
      </c>
      <c r="C103" s="8" t="inlineStr">
        <is>
          <t>batch_04_OE26-1POS</t>
        </is>
      </c>
      <c r="D103" s="8" t="inlineStr">
        <is>
          <t>Fungi</t>
        </is>
      </c>
      <c r="E103" s="8" t="inlineStr">
        <is>
          <t>Ascomycota</t>
        </is>
      </c>
      <c r="F103" s="8" t="n">
        <v>4890</v>
      </c>
      <c r="G103" s="8" t="inlineStr">
        <is>
          <t>core_candidate</t>
        </is>
      </c>
      <c r="H103" s="8" t="inlineStr">
        <is>
          <t>Fungi</t>
        </is>
      </c>
      <c r="I103" s="8" t="inlineStr">
        <is>
          <t>Ascomycota</t>
        </is>
      </c>
      <c r="J103" s="8" t="n"/>
      <c r="K103" s="8" t="inlineStr">
        <is>
          <t>Pezizomycetes</t>
        </is>
      </c>
      <c r="L103" s="8" t="inlineStr">
        <is>
          <t>Pezizales</t>
        </is>
      </c>
      <c r="M103" s="8" t="inlineStr">
        <is>
          <t>Pezizaceae</t>
        </is>
      </c>
      <c r="N103" s="8" t="inlineStr">
        <is>
          <t>Peziza</t>
        </is>
      </c>
      <c r="O103" s="8" t="inlineStr">
        <is>
          <t>Peziza ostracoderma</t>
        </is>
      </c>
      <c r="P103" s="8" t="n">
        <v>44115</v>
      </c>
      <c r="Q103" s="8" t="n"/>
      <c r="R103" s="8" t="n"/>
      <c r="S103" s="8" t="inlineStr">
        <is>
          <t>MEB</t>
        </is>
      </c>
      <c r="T103" s="8" t="n">
        <v>22</v>
      </c>
      <c r="U103" s="8" t="inlineStr">
        <is>
          <t>aerobic</t>
        </is>
      </c>
      <c r="V103" s="8" t="n">
        <v>5.6</v>
      </c>
      <c r="W103" s="8" t="inlineStr">
        <is>
          <t>ncbi-phylum-2026-08-04-v1</t>
        </is>
      </c>
      <c r="X103" s="8" t="inlineStr">
        <is>
          <t>submitted table</t>
        </is>
      </c>
      <c r="Y103" s="8" t="inlineStr">
        <is>
          <t>yes</t>
        </is>
      </c>
    </row>
    <row r="104">
      <c r="A104" s="8" t="inlineStr">
        <is>
          <t>Pichia_fermentans_E18_OE25F37POS.mzML</t>
        </is>
      </c>
      <c r="B104" s="8" t="inlineStr">
        <is>
          <t>OE25F37POS</t>
        </is>
      </c>
      <c r="C104" s="8" t="inlineStr">
        <is>
          <t>batch_04_OE26-1POS</t>
        </is>
      </c>
      <c r="D104" s="8" t="inlineStr">
        <is>
          <t>Fungi</t>
        </is>
      </c>
      <c r="E104" s="8" t="inlineStr">
        <is>
          <t>Ascomycota</t>
        </is>
      </c>
      <c r="F104" s="8" t="n">
        <v>4890</v>
      </c>
      <c r="G104" s="8" t="inlineStr">
        <is>
          <t>core_candidate</t>
        </is>
      </c>
      <c r="H104" s="8" t="inlineStr">
        <is>
          <t>Fungi</t>
        </is>
      </c>
      <c r="I104" s="8" t="inlineStr">
        <is>
          <t>Ascomycota</t>
        </is>
      </c>
      <c r="J104" s="8" t="n"/>
      <c r="K104" s="8" t="inlineStr">
        <is>
          <t>Saccharomycetes</t>
        </is>
      </c>
      <c r="L104" s="8" t="inlineStr">
        <is>
          <t>Saccharomycetales</t>
        </is>
      </c>
      <c r="M104" s="8" t="inlineStr">
        <is>
          <t>Pichiaceae</t>
        </is>
      </c>
      <c r="N104" s="8" t="inlineStr">
        <is>
          <t>Pichia</t>
        </is>
      </c>
      <c r="O104" s="8" t="inlineStr">
        <is>
          <t>Pichia fermentans</t>
        </is>
      </c>
      <c r="P104" s="8" t="n">
        <v>53655</v>
      </c>
      <c r="Q104" s="8" t="inlineStr">
        <is>
          <t>ppa</t>
        </is>
      </c>
      <c r="R104" s="8" t="n"/>
      <c r="S104" s="8" t="inlineStr">
        <is>
          <t>MEB</t>
        </is>
      </c>
      <c r="T104" s="8" t="n">
        <v>22</v>
      </c>
      <c r="U104" s="8" t="inlineStr">
        <is>
          <t>aerobic</t>
        </is>
      </c>
      <c r="V104" s="8" t="n">
        <v>5.6</v>
      </c>
      <c r="W104" s="8" t="inlineStr">
        <is>
          <t>ncbi-phylum-2026-08-04-v1</t>
        </is>
      </c>
      <c r="X104" s="8" t="inlineStr">
        <is>
          <t>submitted table</t>
        </is>
      </c>
      <c r="Y104" s="8" t="inlineStr">
        <is>
          <t>yes</t>
        </is>
      </c>
    </row>
    <row r="105">
      <c r="A105" s="8" t="inlineStr">
        <is>
          <t>OE25F3POS.mzML</t>
        </is>
      </c>
      <c r="B105" s="8" t="inlineStr">
        <is>
          <t>OE25F3POS</t>
        </is>
      </c>
      <c r="C105" s="8" t="inlineStr">
        <is>
          <t>batch_04_OE26-1POS</t>
        </is>
      </c>
      <c r="D105" s="8" t="inlineStr">
        <is>
          <t>Fungi</t>
        </is>
      </c>
      <c r="E105" s="8" t="inlineStr">
        <is>
          <t>Ascomycota</t>
        </is>
      </c>
      <c r="F105" s="8" t="n">
        <v>4890</v>
      </c>
      <c r="G105" s="8" t="inlineStr">
        <is>
          <t>core_candidate</t>
        </is>
      </c>
      <c r="H105" s="8" t="inlineStr">
        <is>
          <t>Fungi</t>
        </is>
      </c>
      <c r="I105" s="8" t="inlineStr">
        <is>
          <t>Ascomycota</t>
        </is>
      </c>
      <c r="J105" s="8" t="n"/>
      <c r="K105" s="8" t="inlineStr">
        <is>
          <t>Pezizomycetes</t>
        </is>
      </c>
      <c r="L105" s="8" t="inlineStr">
        <is>
          <t>Pezizales</t>
        </is>
      </c>
      <c r="M105" s="8" t="inlineStr">
        <is>
          <t>Tuberaceae</t>
        </is>
      </c>
      <c r="N105" s="8" t="inlineStr">
        <is>
          <t>Tuber Sp</t>
        </is>
      </c>
      <c r="O105" s="8" t="n"/>
      <c r="P105" s="8" t="n">
        <v>36048</v>
      </c>
      <c r="Q105" s="8" t="inlineStr">
        <is>
          <t>tml</t>
        </is>
      </c>
      <c r="R105" s="8" t="n"/>
      <c r="S105" s="8" t="n"/>
      <c r="T105" s="8" t="n"/>
      <c r="U105" s="8" t="n"/>
      <c r="V105" s="8" t="n"/>
      <c r="W105" s="8" t="inlineStr">
        <is>
          <t>ncbi-phylum-2026-08-04-v1</t>
        </is>
      </c>
      <c r="X105" s="8" t="inlineStr">
        <is>
          <t>submitted table</t>
        </is>
      </c>
      <c r="Y105" s="8" t="inlineStr">
        <is>
          <t>yes</t>
        </is>
      </c>
    </row>
    <row r="106">
      <c r="A106" s="8" t="inlineStr">
        <is>
          <t>Alternaria_alternata_D_D49_OE25F40POS.mzML</t>
        </is>
      </c>
      <c r="B106" s="8" t="inlineStr">
        <is>
          <t>OE25F40POS</t>
        </is>
      </c>
      <c r="C106" s="8" t="inlineStr">
        <is>
          <t>batch_04_OE26-1POS</t>
        </is>
      </c>
      <c r="D106" s="8" t="inlineStr">
        <is>
          <t>Fungi</t>
        </is>
      </c>
      <c r="E106" s="8" t="inlineStr">
        <is>
          <t>Ascomycota</t>
        </is>
      </c>
      <c r="F106" s="8" t="n">
        <v>4890</v>
      </c>
      <c r="G106" s="8" t="inlineStr">
        <is>
          <t>core_candidate</t>
        </is>
      </c>
      <c r="H106" s="8" t="inlineStr">
        <is>
          <t>Fungi</t>
        </is>
      </c>
      <c r="I106" s="8" t="inlineStr">
        <is>
          <t>Ascomycota</t>
        </is>
      </c>
      <c r="J106" s="8" t="n"/>
      <c r="K106" s="8" t="inlineStr">
        <is>
          <t>Dothideomycetes</t>
        </is>
      </c>
      <c r="L106" s="8" t="inlineStr">
        <is>
          <t>Pleosporales</t>
        </is>
      </c>
      <c r="M106" s="8" t="inlineStr">
        <is>
          <t>Pleosporaceae</t>
        </is>
      </c>
      <c r="N106" s="8" t="inlineStr">
        <is>
          <t>Alternaria</t>
        </is>
      </c>
      <c r="O106" s="8" t="inlineStr">
        <is>
          <t>Alternaria alternata</t>
        </is>
      </c>
      <c r="P106" s="8" t="n">
        <v>5599</v>
      </c>
      <c r="Q106" s="8" t="inlineStr">
        <is>
          <t>aalt</t>
        </is>
      </c>
      <c r="R106" s="8" t="n"/>
      <c r="S106" s="8" t="inlineStr">
        <is>
          <t>MEB</t>
        </is>
      </c>
      <c r="T106" s="8" t="n">
        <v>22</v>
      </c>
      <c r="U106" s="8" t="inlineStr">
        <is>
          <t>aerobic</t>
        </is>
      </c>
      <c r="V106" s="8" t="n">
        <v>5.6</v>
      </c>
      <c r="W106" s="8" t="inlineStr">
        <is>
          <t>ncbi-phylum-2026-08-04-v1</t>
        </is>
      </c>
      <c r="X106" s="8" t="inlineStr">
        <is>
          <t>submitted table</t>
        </is>
      </c>
      <c r="Y106" s="8" t="inlineStr">
        <is>
          <t>yes</t>
        </is>
      </c>
    </row>
    <row r="107">
      <c r="A107" s="8" t="inlineStr">
        <is>
          <t>Gibellulopsis_nigrescens NG_p09_OE25F41POS.mzML</t>
        </is>
      </c>
      <c r="B107" s="8" t="inlineStr">
        <is>
          <t>OE25F41POS</t>
        </is>
      </c>
      <c r="C107" s="8" t="inlineStr">
        <is>
          <t>batch_04_OE26-1POS</t>
        </is>
      </c>
      <c r="D107" s="8" t="inlineStr">
        <is>
          <t>Fungi</t>
        </is>
      </c>
      <c r="E107" s="8" t="inlineStr">
        <is>
          <t>Ascomycota</t>
        </is>
      </c>
      <c r="F107" s="8" t="n">
        <v>4890</v>
      </c>
      <c r="G107" s="8" t="inlineStr">
        <is>
          <t>core_candidate</t>
        </is>
      </c>
      <c r="H107" s="8" t="inlineStr">
        <is>
          <t>Fungi</t>
        </is>
      </c>
      <c r="I107" s="8" t="inlineStr">
        <is>
          <t>Ascomycota</t>
        </is>
      </c>
      <c r="J107" s="8" t="n"/>
      <c r="K107" s="8" t="inlineStr">
        <is>
          <t>Sordariomycetes</t>
        </is>
      </c>
      <c r="L107" s="8" t="inlineStr">
        <is>
          <t>Glomerellales</t>
        </is>
      </c>
      <c r="M107" s="8" t="inlineStr">
        <is>
          <t>Plectosphaerellaceae</t>
        </is>
      </c>
      <c r="N107" s="8" t="inlineStr">
        <is>
          <t>Gibellulopsis</t>
        </is>
      </c>
      <c r="O107" s="8" t="inlineStr">
        <is>
          <t>Gibellulopsis nigrescens NG</t>
        </is>
      </c>
      <c r="P107" s="8" t="n">
        <v>796325</v>
      </c>
      <c r="Q107" s="8" t="n"/>
      <c r="R107" s="8" t="n"/>
      <c r="S107" s="8" t="inlineStr">
        <is>
          <t>MEB</t>
        </is>
      </c>
      <c r="T107" s="8" t="n">
        <v>22</v>
      </c>
      <c r="U107" s="8" t="inlineStr">
        <is>
          <t>aerobic</t>
        </is>
      </c>
      <c r="V107" s="8" t="n">
        <v>5.6</v>
      </c>
      <c r="W107" s="8" t="inlineStr">
        <is>
          <t>ncbi-phylum-2026-08-04-v1</t>
        </is>
      </c>
      <c r="X107" s="8" t="inlineStr">
        <is>
          <t>submitted table</t>
        </is>
      </c>
      <c r="Y107" s="8" t="inlineStr">
        <is>
          <t>yes</t>
        </is>
      </c>
    </row>
    <row r="108">
      <c r="A108" s="8" t="inlineStr">
        <is>
          <t>Warcupia_sp_D_D17_OE25F42POS.mzML</t>
        </is>
      </c>
      <c r="B108" s="8" t="inlineStr">
        <is>
          <t>OE25F42POS</t>
        </is>
      </c>
      <c r="C108" s="8" t="inlineStr">
        <is>
          <t>batch_04_OE26-1POS</t>
        </is>
      </c>
      <c r="D108" s="8" t="inlineStr">
        <is>
          <t>Fungi</t>
        </is>
      </c>
      <c r="E108" s="8" t="inlineStr">
        <is>
          <t>Ascomycota</t>
        </is>
      </c>
      <c r="F108" s="8" t="n">
        <v>4890</v>
      </c>
      <c r="G108" s="8" t="inlineStr">
        <is>
          <t>core_candidate</t>
        </is>
      </c>
      <c r="H108" s="8" t="inlineStr">
        <is>
          <t>Fungi</t>
        </is>
      </c>
      <c r="I108" s="8" t="inlineStr">
        <is>
          <t>Ascomycota</t>
        </is>
      </c>
      <c r="J108" s="8" t="n"/>
      <c r="K108" s="8" t="inlineStr">
        <is>
          <t>Pezizomycetes</t>
        </is>
      </c>
      <c r="L108" s="8" t="inlineStr">
        <is>
          <t>Pezizales</t>
        </is>
      </c>
      <c r="M108" s="8" t="inlineStr">
        <is>
          <t>Pyronemataceae</t>
        </is>
      </c>
      <c r="N108" s="8" t="inlineStr">
        <is>
          <t>Warcupia</t>
        </is>
      </c>
      <c r="O108" s="8" t="inlineStr">
        <is>
          <t>Warcupia sp</t>
        </is>
      </c>
      <c r="P108" s="8" t="n">
        <v>277197</v>
      </c>
      <c r="Q108" s="8" t="n"/>
      <c r="R108" s="8" t="n"/>
      <c r="S108" s="8" t="inlineStr">
        <is>
          <t>MEB</t>
        </is>
      </c>
      <c r="T108" s="8" t="n">
        <v>22</v>
      </c>
      <c r="U108" s="8" t="inlineStr">
        <is>
          <t>aerobic</t>
        </is>
      </c>
      <c r="V108" s="8" t="n">
        <v>5.6</v>
      </c>
      <c r="W108" s="8" t="inlineStr">
        <is>
          <t>ncbi-phylum-2026-08-04-v1</t>
        </is>
      </c>
      <c r="X108" s="8" t="inlineStr">
        <is>
          <t>submitted table</t>
        </is>
      </c>
      <c r="Y108" s="8" t="inlineStr">
        <is>
          <t>yes</t>
        </is>
      </c>
    </row>
    <row r="109">
      <c r="A109" s="8" t="inlineStr">
        <is>
          <t>Blastobotrys_sp_LG1401_ES7A_OE25F45POS.mzML</t>
        </is>
      </c>
      <c r="B109" s="8" t="inlineStr">
        <is>
          <t>OE25F45POS</t>
        </is>
      </c>
      <c r="C109" s="8" t="inlineStr">
        <is>
          <t>batch_04_OE26-1POS</t>
        </is>
      </c>
      <c r="D109" s="8" t="inlineStr">
        <is>
          <t>Fungi</t>
        </is>
      </c>
      <c r="E109" s="8" t="inlineStr">
        <is>
          <t>Ascomycota</t>
        </is>
      </c>
      <c r="F109" s="8" t="n">
        <v>4890</v>
      </c>
      <c r="G109" s="8" t="inlineStr">
        <is>
          <t>core_candidate</t>
        </is>
      </c>
      <c r="H109" s="8" t="inlineStr">
        <is>
          <t>Fungi</t>
        </is>
      </c>
      <c r="I109" s="8" t="inlineStr">
        <is>
          <t>Ascomycota</t>
        </is>
      </c>
      <c r="J109" s="8" t="n"/>
      <c r="K109" s="8" t="inlineStr">
        <is>
          <t>Saccharomycetes</t>
        </is>
      </c>
      <c r="L109" s="8" t="inlineStr">
        <is>
          <t>Saccharomycetales</t>
        </is>
      </c>
      <c r="M109" s="8" t="inlineStr">
        <is>
          <t>Trichomonascaceae</t>
        </is>
      </c>
      <c r="N109" s="8" t="inlineStr">
        <is>
          <t>Blastobotrys</t>
        </is>
      </c>
      <c r="O109" s="8" t="inlineStr">
        <is>
          <t>Blastobotrys sp</t>
        </is>
      </c>
      <c r="P109" s="8" t="n">
        <v>66765</v>
      </c>
      <c r="Q109" s="8" t="n"/>
      <c r="R109" s="8" t="n"/>
      <c r="S109" s="8" t="inlineStr">
        <is>
          <t>MEB</t>
        </is>
      </c>
      <c r="T109" s="8" t="n">
        <v>22</v>
      </c>
      <c r="U109" s="8" t="inlineStr">
        <is>
          <t>aerobic</t>
        </is>
      </c>
      <c r="V109" s="8" t="n">
        <v>5.6</v>
      </c>
      <c r="W109" s="8" t="inlineStr">
        <is>
          <t>ncbi-phylum-2026-08-04-v1</t>
        </is>
      </c>
      <c r="X109" s="8" t="inlineStr">
        <is>
          <t>submitted table</t>
        </is>
      </c>
      <c r="Y109" s="8" t="inlineStr">
        <is>
          <t>yes</t>
        </is>
      </c>
    </row>
    <row r="110">
      <c r="A110" s="8" t="inlineStr">
        <is>
          <t>Mucor_hiemalis_INF1507_17_OE25F47POS.mzML</t>
        </is>
      </c>
      <c r="B110" s="8" t="inlineStr">
        <is>
          <t>OE25F47POS</t>
        </is>
      </c>
      <c r="C110" s="8" t="inlineStr">
        <is>
          <t>batch_04_OE26-1POS</t>
        </is>
      </c>
      <c r="D110" s="8" t="inlineStr">
        <is>
          <t>Fungi</t>
        </is>
      </c>
      <c r="E110" s="8" t="inlineStr">
        <is>
          <t>Mucoromycota</t>
        </is>
      </c>
      <c r="F110" s="8" t="n">
        <v>1913637</v>
      </c>
      <c r="G110" s="8" t="inlineStr">
        <is>
          <t>core_candidate</t>
        </is>
      </c>
      <c r="H110" s="8" t="inlineStr">
        <is>
          <t>Fungi</t>
        </is>
      </c>
      <c r="I110" s="8" t="inlineStr">
        <is>
          <t>Mucoromycota</t>
        </is>
      </c>
      <c r="J110" s="8" t="n"/>
      <c r="K110" s="8" t="inlineStr">
        <is>
          <t>Mucoromycetes</t>
        </is>
      </c>
      <c r="L110" s="8" t="inlineStr">
        <is>
          <t>Mucorales</t>
        </is>
      </c>
      <c r="M110" s="8" t="inlineStr">
        <is>
          <t>Mucoraceae</t>
        </is>
      </c>
      <c r="N110" s="8" t="inlineStr">
        <is>
          <t>Mucor</t>
        </is>
      </c>
      <c r="O110" s="8" t="inlineStr">
        <is>
          <t>Mucor hiemalis</t>
        </is>
      </c>
      <c r="P110" s="8" t="n">
        <v>64493</v>
      </c>
      <c r="Q110" s="8" t="n"/>
      <c r="R110" s="8" t="n"/>
      <c r="S110" s="8" t="inlineStr">
        <is>
          <t>MEB</t>
        </is>
      </c>
      <c r="T110" s="8" t="n">
        <v>22</v>
      </c>
      <c r="U110" s="8" t="inlineStr">
        <is>
          <t>aerobic</t>
        </is>
      </c>
      <c r="V110" s="8" t="n">
        <v>5.6</v>
      </c>
      <c r="W110" s="8" t="inlineStr">
        <is>
          <t>ncbi-phylum-2026-08-04-v1</t>
        </is>
      </c>
      <c r="X110" s="8" t="inlineStr">
        <is>
          <t>submitted table</t>
        </is>
      </c>
      <c r="Y110" s="8" t="inlineStr">
        <is>
          <t>yes</t>
        </is>
      </c>
    </row>
    <row r="111">
      <c r="A111" s="8" t="inlineStr">
        <is>
          <t>Schwanniomyces_capriottii_NG_p11_OE25F48POS.mzML</t>
        </is>
      </c>
      <c r="B111" s="8" t="inlineStr">
        <is>
          <t>OE25F48POS</t>
        </is>
      </c>
      <c r="C111" s="8" t="inlineStr">
        <is>
          <t>batch_04_OE26-1POS</t>
        </is>
      </c>
      <c r="D111" s="8" t="inlineStr">
        <is>
          <t>Fungi</t>
        </is>
      </c>
      <c r="E111" s="8" t="inlineStr">
        <is>
          <t>Ascomycota</t>
        </is>
      </c>
      <c r="F111" s="8" t="n">
        <v>4890</v>
      </c>
      <c r="G111" s="8" t="inlineStr">
        <is>
          <t>core_candidate</t>
        </is>
      </c>
      <c r="H111" s="8" t="inlineStr">
        <is>
          <t>Fungi</t>
        </is>
      </c>
      <c r="I111" s="8" t="inlineStr">
        <is>
          <t>Ascomycota</t>
        </is>
      </c>
      <c r="J111" s="8" t="n"/>
      <c r="K111" s="8" t="inlineStr">
        <is>
          <t>Saccharomycetes</t>
        </is>
      </c>
      <c r="L111" s="8" t="inlineStr">
        <is>
          <t>Saccharomycetales</t>
        </is>
      </c>
      <c r="M111" s="8" t="inlineStr">
        <is>
          <t>Debaryomycetaceae</t>
        </is>
      </c>
      <c r="N111" s="8" t="inlineStr">
        <is>
          <t>Schwanniomyces</t>
        </is>
      </c>
      <c r="O111" s="8" t="inlineStr">
        <is>
          <t>Schwanniomyces capriottii</t>
        </is>
      </c>
      <c r="P111" s="8" t="n">
        <v>766754</v>
      </c>
      <c r="Q111" s="8" t="n"/>
      <c r="R111" s="8" t="n"/>
      <c r="S111" s="8" t="inlineStr">
        <is>
          <t>MEB</t>
        </is>
      </c>
      <c r="T111" s="8" t="n">
        <v>22</v>
      </c>
      <c r="U111" s="8" t="inlineStr">
        <is>
          <t>aerobic</t>
        </is>
      </c>
      <c r="V111" s="8" t="n">
        <v>5.6</v>
      </c>
      <c r="W111" s="8" t="inlineStr">
        <is>
          <t>ncbi-phylum-2026-08-04-v1</t>
        </is>
      </c>
      <c r="X111" s="8" t="inlineStr">
        <is>
          <t>submitted table</t>
        </is>
      </c>
      <c r="Y111" s="8" t="inlineStr">
        <is>
          <t>yes</t>
        </is>
      </c>
    </row>
    <row r="112">
      <c r="A112" s="8" t="inlineStr">
        <is>
          <t>Armillaria_bulbosa_OE25F4POS.mzML</t>
        </is>
      </c>
      <c r="B112" s="8" t="inlineStr">
        <is>
          <t>OE25F4POS</t>
        </is>
      </c>
      <c r="C112" s="8" t="inlineStr">
        <is>
          <t>batch_04_OE26-1POS</t>
        </is>
      </c>
      <c r="D112" s="8" t="inlineStr">
        <is>
          <t>Fungi</t>
        </is>
      </c>
      <c r="E112" s="8" t="inlineStr">
        <is>
          <t>Basidiomycota</t>
        </is>
      </c>
      <c r="F112" s="8" t="n">
        <v>5204</v>
      </c>
      <c r="G112" s="8" t="inlineStr">
        <is>
          <t>core_candidate</t>
        </is>
      </c>
      <c r="H112" s="8" t="inlineStr">
        <is>
          <t>Fungi</t>
        </is>
      </c>
      <c r="I112" s="8" t="inlineStr">
        <is>
          <t>Basidiomycota</t>
        </is>
      </c>
      <c r="J112" s="8" t="n"/>
      <c r="K112" s="8" t="inlineStr">
        <is>
          <t>Agaricomycetes</t>
        </is>
      </c>
      <c r="L112" s="8" t="inlineStr">
        <is>
          <t>Agaricales</t>
        </is>
      </c>
      <c r="M112" s="8" t="inlineStr">
        <is>
          <t>Physalacriaceae</t>
        </is>
      </c>
      <c r="N112" s="8" t="inlineStr">
        <is>
          <t>Armillaria</t>
        </is>
      </c>
      <c r="O112" s="8" t="inlineStr">
        <is>
          <t>Armillaria bulbosa</t>
        </is>
      </c>
      <c r="P112" s="8" t="n">
        <v>47430</v>
      </c>
      <c r="Q112" s="8" t="n"/>
      <c r="R112" s="8" t="n"/>
      <c r="S112" s="8" t="inlineStr">
        <is>
          <t>90</t>
        </is>
      </c>
      <c r="T112" s="8" t="n">
        <v>22</v>
      </c>
      <c r="U112" s="8" t="inlineStr">
        <is>
          <t>aerobic</t>
        </is>
      </c>
      <c r="V112" s="8" t="n">
        <v>5.6</v>
      </c>
      <c r="W112" s="8" t="inlineStr">
        <is>
          <t>ncbi-phylum-2026-08-04-v1</t>
        </is>
      </c>
      <c r="X112" s="8" t="inlineStr">
        <is>
          <t>submitted table</t>
        </is>
      </c>
      <c r="Y112" s="8" t="inlineStr">
        <is>
          <t>yes</t>
        </is>
      </c>
    </row>
    <row r="113">
      <c r="A113" s="8" t="inlineStr">
        <is>
          <t>Fusarium_fujikuroi_OE25F52POS.mzML</t>
        </is>
      </c>
      <c r="B113" s="8" t="inlineStr">
        <is>
          <t>OE25F52POS</t>
        </is>
      </c>
      <c r="C113" s="8" t="inlineStr">
        <is>
          <t>batch_04_OE26-1POS</t>
        </is>
      </c>
      <c r="D113" s="8" t="inlineStr">
        <is>
          <t>Fungi</t>
        </is>
      </c>
      <c r="E113" s="8" t="inlineStr">
        <is>
          <t>Ascomycota</t>
        </is>
      </c>
      <c r="F113" s="8" t="n">
        <v>4890</v>
      </c>
      <c r="G113" s="8" t="inlineStr">
        <is>
          <t>core_candidate</t>
        </is>
      </c>
      <c r="H113" s="8" t="inlineStr">
        <is>
          <t>Fungi</t>
        </is>
      </c>
      <c r="I113" s="8" t="inlineStr">
        <is>
          <t>Ascomycota</t>
        </is>
      </c>
      <c r="J113" s="8" t="n"/>
      <c r="K113" s="8" t="inlineStr">
        <is>
          <t>Sordariomycetes</t>
        </is>
      </c>
      <c r="L113" s="8" t="inlineStr">
        <is>
          <t>Hypocreales</t>
        </is>
      </c>
      <c r="M113" s="8" t="inlineStr">
        <is>
          <t>Nectriaceae</t>
        </is>
      </c>
      <c r="N113" s="8" t="inlineStr">
        <is>
          <t>Fusarium</t>
        </is>
      </c>
      <c r="O113" s="8" t="inlineStr">
        <is>
          <t>Fusarium fujikuroi</t>
        </is>
      </c>
      <c r="P113" s="8" t="n">
        <v>5127</v>
      </c>
      <c r="Q113" s="8" t="inlineStr">
        <is>
          <t>fox</t>
        </is>
      </c>
      <c r="R113" s="8" t="n"/>
      <c r="S113" s="8" t="inlineStr">
        <is>
          <t>MEB</t>
        </is>
      </c>
      <c r="T113" s="8" t="n">
        <v>22</v>
      </c>
      <c r="U113" s="8" t="inlineStr">
        <is>
          <t>aerobic</t>
        </is>
      </c>
      <c r="V113" s="8" t="n">
        <v>5.6</v>
      </c>
      <c r="W113" s="8" t="inlineStr">
        <is>
          <t>ncbi-phylum-2026-08-04-v1</t>
        </is>
      </c>
      <c r="X113" s="8" t="inlineStr">
        <is>
          <t>submitted table</t>
        </is>
      </c>
      <c r="Y113" s="8" t="inlineStr">
        <is>
          <t>yes</t>
        </is>
      </c>
    </row>
    <row r="114">
      <c r="A114" s="8" t="inlineStr">
        <is>
          <t>Cephalotrichum_microsporum_B38_OE25F53POS.mzML</t>
        </is>
      </c>
      <c r="B114" s="8" t="inlineStr">
        <is>
          <t>OE25F53POS</t>
        </is>
      </c>
      <c r="C114" s="8" t="inlineStr">
        <is>
          <t>batch_04_OE26-1POS</t>
        </is>
      </c>
      <c r="D114" s="8" t="inlineStr">
        <is>
          <t>Fungi</t>
        </is>
      </c>
      <c r="E114" s="8" t="inlineStr">
        <is>
          <t>Ascomycota</t>
        </is>
      </c>
      <c r="F114" s="8" t="n">
        <v>4890</v>
      </c>
      <c r="G114" s="8" t="inlineStr">
        <is>
          <t>core_candidate</t>
        </is>
      </c>
      <c r="H114" s="8" t="inlineStr">
        <is>
          <t>Fungi</t>
        </is>
      </c>
      <c r="I114" s="8" t="inlineStr">
        <is>
          <t>Ascomycota</t>
        </is>
      </c>
      <c r="J114" s="8" t="n"/>
      <c r="K114" s="8" t="inlineStr">
        <is>
          <t>Sordariomycetes</t>
        </is>
      </c>
      <c r="L114" s="8" t="inlineStr">
        <is>
          <t>Microascales</t>
        </is>
      </c>
      <c r="M114" s="8" t="inlineStr">
        <is>
          <t>Microascaceae</t>
        </is>
      </c>
      <c r="N114" s="8" t="inlineStr">
        <is>
          <t>Cephalotrichum</t>
        </is>
      </c>
      <c r="O114" s="8" t="inlineStr">
        <is>
          <t>Cephalotrichum microsporum</t>
        </is>
      </c>
      <c r="P114" s="8" t="n">
        <v>186352</v>
      </c>
      <c r="Q114" s="8" t="n"/>
      <c r="R114" s="8" t="n"/>
      <c r="S114" s="8" t="inlineStr">
        <is>
          <t>MEB</t>
        </is>
      </c>
      <c r="T114" s="8" t="n">
        <v>22</v>
      </c>
      <c r="U114" s="8" t="inlineStr">
        <is>
          <t>aerobic</t>
        </is>
      </c>
      <c r="V114" s="8" t="n">
        <v>5.6</v>
      </c>
      <c r="W114" s="8" t="inlineStr">
        <is>
          <t>ncbi-phylum-2026-08-04-v1</t>
        </is>
      </c>
      <c r="X114" s="8" t="inlineStr">
        <is>
          <t>submitted table</t>
        </is>
      </c>
      <c r="Y114" s="8" t="inlineStr">
        <is>
          <t>yes</t>
        </is>
      </c>
    </row>
    <row r="115">
      <c r="A115" s="8" t="inlineStr">
        <is>
          <t>Umbelopsis_vinacea_LG1401_MS7A_OE25F55POS.mzML</t>
        </is>
      </c>
      <c r="B115" s="8" t="inlineStr">
        <is>
          <t>OE25F55POS</t>
        </is>
      </c>
      <c r="C115" s="8" t="inlineStr">
        <is>
          <t>batch_04_OE26-1POS</t>
        </is>
      </c>
      <c r="D115" s="8" t="inlineStr">
        <is>
          <t>Fungi</t>
        </is>
      </c>
      <c r="E115" s="8" t="inlineStr">
        <is>
          <t>Mucoromycota</t>
        </is>
      </c>
      <c r="F115" s="8" t="n">
        <v>1913637</v>
      </c>
      <c r="G115" s="8" t="inlineStr">
        <is>
          <t>core_candidate</t>
        </is>
      </c>
      <c r="H115" s="8" t="inlineStr">
        <is>
          <t>Fungi</t>
        </is>
      </c>
      <c r="I115" s="8" t="inlineStr">
        <is>
          <t>Mucoromycota</t>
        </is>
      </c>
      <c r="J115" s="8" t="n"/>
      <c r="K115" s="8" t="inlineStr">
        <is>
          <t>Umbelopsidomycetes</t>
        </is>
      </c>
      <c r="L115" s="8" t="inlineStr">
        <is>
          <t>Umbelopsidales</t>
        </is>
      </c>
      <c r="M115" s="8" t="inlineStr">
        <is>
          <t>Umbelopsidaceae</t>
        </is>
      </c>
      <c r="N115" s="8" t="inlineStr">
        <is>
          <t>Umbelopsis</t>
        </is>
      </c>
      <c r="O115" s="8" t="inlineStr">
        <is>
          <t>Umbelopsis vinacea</t>
        </is>
      </c>
      <c r="P115" s="8" t="n">
        <v>44442</v>
      </c>
      <c r="Q115" s="8" t="n"/>
      <c r="R115" s="8" t="n"/>
      <c r="S115" s="8" t="inlineStr">
        <is>
          <t>MEB</t>
        </is>
      </c>
      <c r="T115" s="8" t="n">
        <v>22</v>
      </c>
      <c r="U115" s="8" t="inlineStr">
        <is>
          <t>aerobic</t>
        </is>
      </c>
      <c r="V115" s="8" t="n">
        <v>5.6</v>
      </c>
      <c r="W115" s="8" t="inlineStr">
        <is>
          <t>ncbi-phylum-2026-08-04-v1</t>
        </is>
      </c>
      <c r="X115" s="8" t="inlineStr">
        <is>
          <t>submitted table</t>
        </is>
      </c>
      <c r="Y115" s="8" t="inlineStr">
        <is>
          <t>yes</t>
        </is>
      </c>
    </row>
    <row r="116">
      <c r="A116" s="8" t="inlineStr">
        <is>
          <t>Umbelopsis_ramanniana_np1610_08_OE25F57POS.mzML</t>
        </is>
      </c>
      <c r="B116" s="8" t="inlineStr">
        <is>
          <t>OE25F57POS</t>
        </is>
      </c>
      <c r="C116" s="8" t="inlineStr">
        <is>
          <t>batch_04_OE26-1POS</t>
        </is>
      </c>
      <c r="D116" s="8" t="inlineStr">
        <is>
          <t>Fungi</t>
        </is>
      </c>
      <c r="E116" s="8" t="inlineStr">
        <is>
          <t>Mucoromycota</t>
        </is>
      </c>
      <c r="F116" s="8" t="n">
        <v>1913637</v>
      </c>
      <c r="G116" s="8" t="inlineStr">
        <is>
          <t>core_candidate</t>
        </is>
      </c>
      <c r="H116" s="8" t="inlineStr">
        <is>
          <t>Fungi</t>
        </is>
      </c>
      <c r="I116" s="8" t="inlineStr">
        <is>
          <t>Mucoromycota</t>
        </is>
      </c>
      <c r="J116" s="8" t="n"/>
      <c r="K116" s="8" t="inlineStr">
        <is>
          <t>Umbelopsidomycetes</t>
        </is>
      </c>
      <c r="L116" s="8" t="inlineStr">
        <is>
          <t>Umbelopsidales</t>
        </is>
      </c>
      <c r="M116" s="8" t="inlineStr">
        <is>
          <t>Umbelopsidaceae</t>
        </is>
      </c>
      <c r="N116" s="8" t="inlineStr">
        <is>
          <t>Umbelopsis</t>
        </is>
      </c>
      <c r="O116" s="8" t="inlineStr">
        <is>
          <t>Umbelopsis ramanniana</t>
        </is>
      </c>
      <c r="P116" s="8" t="n">
        <v>41833</v>
      </c>
      <c r="Q116" s="8" t="n"/>
      <c r="R116" s="8" t="n"/>
      <c r="S116" s="8" t="inlineStr">
        <is>
          <t>MEB</t>
        </is>
      </c>
      <c r="T116" s="8" t="n">
        <v>22</v>
      </c>
      <c r="U116" s="8" t="inlineStr">
        <is>
          <t>aerobic</t>
        </is>
      </c>
      <c r="V116" s="8" t="n">
        <v>5.6</v>
      </c>
      <c r="W116" s="8" t="inlineStr">
        <is>
          <t>ncbi-phylum-2026-08-04-v1</t>
        </is>
      </c>
      <c r="X116" s="8" t="inlineStr">
        <is>
          <t>submitted table</t>
        </is>
      </c>
      <c r="Y116" s="8" t="inlineStr">
        <is>
          <t>yes</t>
        </is>
      </c>
    </row>
    <row r="117">
      <c r="A117" s="8" t="inlineStr">
        <is>
          <t>Fungi_OE25F61POS.mzML</t>
        </is>
      </c>
      <c r="B117" s="8" t="inlineStr">
        <is>
          <t>OE25F61POS</t>
        </is>
      </c>
      <c r="C117" s="8" t="inlineStr">
        <is>
          <t>batch_04_OE26-1POS</t>
        </is>
      </c>
      <c r="D117" s="8" t="inlineStr">
        <is>
          <t>Fungi</t>
        </is>
      </c>
      <c r="E117" s="8" t="inlineStr">
        <is>
          <t>Ascomycota</t>
        </is>
      </c>
      <c r="F117" s="8" t="n">
        <v>4890</v>
      </c>
      <c r="G117" s="8" t="inlineStr">
        <is>
          <t>core_candidate</t>
        </is>
      </c>
      <c r="H117" s="8" t="inlineStr">
        <is>
          <t>Fungi</t>
        </is>
      </c>
      <c r="I117" s="8" t="inlineStr">
        <is>
          <t>Ascomycota</t>
        </is>
      </c>
      <c r="J117" s="8" t="n"/>
      <c r="K117" s="8" t="inlineStr">
        <is>
          <t>Eurotiomycetes</t>
        </is>
      </c>
      <c r="L117" s="8" t="inlineStr">
        <is>
          <t>Onygenales</t>
        </is>
      </c>
      <c r="M117" s="8" t="inlineStr">
        <is>
          <t>Onygenaceae</t>
        </is>
      </c>
      <c r="N117" s="8" t="inlineStr">
        <is>
          <t>Heydenia Sp.</t>
        </is>
      </c>
      <c r="O117" s="8" t="inlineStr">
        <is>
          <t>Heydenia Sp. OE25F61POS.mzML</t>
        </is>
      </c>
      <c r="P117" s="8" t="n">
        <v>247549</v>
      </c>
      <c r="Q117" s="8" t="n"/>
      <c r="R117" s="8" t="n"/>
      <c r="S117" s="8" t="n"/>
      <c r="T117" s="8" t="n"/>
      <c r="U117" s="8" t="n"/>
      <c r="V117" s="8" t="n"/>
      <c r="W117" s="8" t="inlineStr">
        <is>
          <t>ncbi-phylum-2026-08-04-v1</t>
        </is>
      </c>
      <c r="X117" s="8" t="inlineStr">
        <is>
          <t>submitted table</t>
        </is>
      </c>
      <c r="Y117" s="8" t="inlineStr">
        <is>
          <t>yes</t>
        </is>
      </c>
    </row>
    <row r="118">
      <c r="A118" s="8" t="inlineStr">
        <is>
          <t>Rhizopus_oligosporus_OE25F6POS.mzML</t>
        </is>
      </c>
      <c r="B118" s="8" t="inlineStr">
        <is>
          <t>OE25F6POS</t>
        </is>
      </c>
      <c r="C118" s="8" t="inlineStr">
        <is>
          <t>batch_04_OE26-1POS</t>
        </is>
      </c>
      <c r="D118" s="8" t="inlineStr">
        <is>
          <t>Fungi</t>
        </is>
      </c>
      <c r="E118" s="8" t="inlineStr">
        <is>
          <t>Mucoromycota</t>
        </is>
      </c>
      <c r="F118" s="8" t="n">
        <v>1913637</v>
      </c>
      <c r="G118" s="8" t="inlineStr">
        <is>
          <t>core_candidate</t>
        </is>
      </c>
      <c r="H118" s="8" t="inlineStr">
        <is>
          <t>Fungi</t>
        </is>
      </c>
      <c r="I118" s="8" t="inlineStr">
        <is>
          <t>Mucoromycota</t>
        </is>
      </c>
      <c r="J118" s="8" t="n"/>
      <c r="K118" s="8" t="inlineStr">
        <is>
          <t>Mucoromycetes</t>
        </is>
      </c>
      <c r="L118" s="8" t="inlineStr">
        <is>
          <t>Mucorales</t>
        </is>
      </c>
      <c r="M118" s="8" t="inlineStr">
        <is>
          <t>Rhizopodaceae</t>
        </is>
      </c>
      <c r="N118" s="8" t="inlineStr">
        <is>
          <t>Rhizopus</t>
        </is>
      </c>
      <c r="O118" s="8" t="inlineStr">
        <is>
          <t>Rhizopus oligosporus</t>
        </is>
      </c>
      <c r="P118" s="8" t="n">
        <v>4847</v>
      </c>
      <c r="Q118" s="8" t="n"/>
      <c r="R118" s="8" t="n"/>
      <c r="S118" s="8" t="inlineStr">
        <is>
          <t>N/A - fruiting body</t>
        </is>
      </c>
      <c r="T118" s="8" t="n"/>
      <c r="U118" s="8" t="n"/>
      <c r="V118" s="8" t="n"/>
      <c r="W118" s="8" t="inlineStr">
        <is>
          <t>ncbi-phylum-2026-08-04-v1</t>
        </is>
      </c>
      <c r="X118" s="8" t="inlineStr">
        <is>
          <t>submitted table</t>
        </is>
      </c>
      <c r="Y118" s="8" t="inlineStr">
        <is>
          <t>yes</t>
        </is>
      </c>
    </row>
    <row r="119">
      <c r="A119" s="8" t="inlineStr">
        <is>
          <t>Methanosarcina_spelaei_OE25FSNELMIPOS.mzML</t>
        </is>
      </c>
      <c r="B119" s="8" t="inlineStr">
        <is>
          <t>OE25FSNELMIPOS</t>
        </is>
      </c>
      <c r="C119" s="8" t="inlineStr">
        <is>
          <t>batch_04_OE26-1POS</t>
        </is>
      </c>
      <c r="D119" s="8" t="inlineStr">
        <is>
          <t>Archaea</t>
        </is>
      </c>
      <c r="E119" s="9" t="inlineStr">
        <is>
          <t>Methanobacteriota</t>
        </is>
      </c>
      <c r="F119" s="8" t="n">
        <v>28890</v>
      </c>
      <c r="G119" s="8" t="inlineStr">
        <is>
          <t>core_candidate</t>
        </is>
      </c>
      <c r="H119" s="8" t="inlineStr">
        <is>
          <t>Archaea</t>
        </is>
      </c>
      <c r="I119" s="8" t="inlineStr">
        <is>
          <t>Euryarchaeota</t>
        </is>
      </c>
      <c r="J119" s="8" t="inlineStr">
        <is>
          <t>yes</t>
        </is>
      </c>
      <c r="K119" s="8" t="inlineStr">
        <is>
          <t>Methanosarcinia</t>
        </is>
      </c>
      <c r="L119" s="8" t="inlineStr">
        <is>
          <t>Methanosarcinales</t>
        </is>
      </c>
      <c r="M119" s="8" t="inlineStr">
        <is>
          <t>Methanosarcinaceae</t>
        </is>
      </c>
      <c r="N119" s="8" t="inlineStr">
        <is>
          <t>Methanosarcina</t>
        </is>
      </c>
      <c r="O119" s="8" t="inlineStr">
        <is>
          <t>Methanosarcina spelaei</t>
        </is>
      </c>
      <c r="P119" s="8" t="n">
        <v>1609969</v>
      </c>
      <c r="Q119" s="8" t="inlineStr">
        <is>
          <t>mma</t>
        </is>
      </c>
      <c r="R119" s="8" t="n"/>
      <c r="S119" s="8" t="inlineStr">
        <is>
          <t>120a</t>
        </is>
      </c>
      <c r="T119" s="8" t="n">
        <v>33</v>
      </c>
      <c r="U119" s="8" t="inlineStr">
        <is>
          <t>anaerobic</t>
        </is>
      </c>
      <c r="V119" s="8" t="n">
        <v>6.5</v>
      </c>
      <c r="W119" s="8" t="inlineStr">
        <is>
          <t>ncbi-phylum-2026-08-04-v1</t>
        </is>
      </c>
      <c r="X119" s="8" t="inlineStr">
        <is>
          <t>submitted table</t>
        </is>
      </c>
      <c r="Y119" s="8" t="inlineStr">
        <is>
          <t>yes</t>
        </is>
      </c>
    </row>
    <row r="120">
      <c r="A120" s="8" t="inlineStr">
        <is>
          <t>Haloferax_volcanii_WR340_OE25HVOLCANIPOS.mzML</t>
        </is>
      </c>
      <c r="B120" s="8" t="inlineStr">
        <is>
          <t>OE25HVOLCANIPOS</t>
        </is>
      </c>
      <c r="C120" s="8" t="inlineStr">
        <is>
          <t>batch_04_OE26-1POS</t>
        </is>
      </c>
      <c r="D120" s="8" t="inlineStr">
        <is>
          <t>Archaea</t>
        </is>
      </c>
      <c r="E120" s="9" t="inlineStr">
        <is>
          <t>Methanobacteriota</t>
        </is>
      </c>
      <c r="F120" s="8" t="n">
        <v>28890</v>
      </c>
      <c r="G120" s="8" t="inlineStr">
        <is>
          <t>core_candidate</t>
        </is>
      </c>
      <c r="H120" s="8" t="inlineStr">
        <is>
          <t>Archaea</t>
        </is>
      </c>
      <c r="I120" s="8" t="inlineStr">
        <is>
          <t>Euryarchaeota</t>
        </is>
      </c>
      <c r="J120" s="8" t="inlineStr">
        <is>
          <t>yes</t>
        </is>
      </c>
      <c r="K120" s="8" t="inlineStr">
        <is>
          <t>Halobacteria</t>
        </is>
      </c>
      <c r="L120" s="8" t="inlineStr">
        <is>
          <t>Haloferacales</t>
        </is>
      </c>
      <c r="M120" s="8" t="inlineStr">
        <is>
          <t>Haloferacaceae</t>
        </is>
      </c>
      <c r="N120" s="8" t="inlineStr">
        <is>
          <t>Haloferax</t>
        </is>
      </c>
      <c r="O120" s="8" t="inlineStr">
        <is>
          <t>Haloferax volcanii</t>
        </is>
      </c>
      <c r="P120" s="8" t="n">
        <v>2246</v>
      </c>
      <c r="Q120" s="8" t="inlineStr">
        <is>
          <t>hvo</t>
        </is>
      </c>
      <c r="R120" s="8" t="n"/>
      <c r="S120" s="8" t="n"/>
      <c r="T120" s="8" t="n">
        <v>37</v>
      </c>
      <c r="U120" s="8" t="inlineStr">
        <is>
          <t>aerobic</t>
        </is>
      </c>
      <c r="V120" s="8" t="n">
        <v>7.2</v>
      </c>
      <c r="W120" s="8" t="inlineStr">
        <is>
          <t>ncbi-phylum-2026-08-04-v1</t>
        </is>
      </c>
      <c r="X120" s="8" t="inlineStr">
        <is>
          <t>submitted table</t>
        </is>
      </c>
      <c r="Y120" s="8" t="inlineStr">
        <is>
          <t>yes</t>
        </is>
      </c>
    </row>
    <row r="121">
      <c r="A121" s="8" t="inlineStr">
        <is>
          <t>Methanothermus fervidusOE25MFERIDUSPOS.mzML</t>
        </is>
      </c>
      <c r="B121" s="8" t="inlineStr">
        <is>
          <t>OE25MFERIDUSPOS</t>
        </is>
      </c>
      <c r="C121" s="8" t="inlineStr">
        <is>
          <t>batch_04_OE26-1POS</t>
        </is>
      </c>
      <c r="D121" s="8" t="inlineStr">
        <is>
          <t>Archaea</t>
        </is>
      </c>
      <c r="E121" s="9" t="inlineStr">
        <is>
          <t>Methanobacteriota</t>
        </is>
      </c>
      <c r="F121" s="8" t="n">
        <v>28890</v>
      </c>
      <c r="G121" s="8" t="inlineStr">
        <is>
          <t>core_candidate</t>
        </is>
      </c>
      <c r="H121" s="8" t="inlineStr">
        <is>
          <t>Archaea</t>
        </is>
      </c>
      <c r="I121" s="8" t="inlineStr">
        <is>
          <t>Euryarchaeota</t>
        </is>
      </c>
      <c r="J121" s="8" t="inlineStr">
        <is>
          <t>yes</t>
        </is>
      </c>
      <c r="K121" s="8" t="inlineStr">
        <is>
          <t>Methanobacteria</t>
        </is>
      </c>
      <c r="L121" s="8" t="inlineStr">
        <is>
          <t>Methanobacteriales</t>
        </is>
      </c>
      <c r="M121" s="8" t="inlineStr">
        <is>
          <t>Methanothermaceae</t>
        </is>
      </c>
      <c r="N121" s="8" t="inlineStr">
        <is>
          <t>Methanothermus fervidus</t>
        </is>
      </c>
      <c r="O121" s="8" t="n"/>
      <c r="P121" s="8" t="n">
        <v>2228</v>
      </c>
      <c r="Q121" s="8" t="inlineStr">
        <is>
          <t>mfv</t>
        </is>
      </c>
      <c r="R121" s="8" t="n"/>
      <c r="S121" s="8" t="n"/>
      <c r="T121" s="8" t="n"/>
      <c r="U121" s="8" t="n"/>
      <c r="V121" s="8" t="n"/>
      <c r="W121" s="8" t="inlineStr">
        <is>
          <t>ncbi-phylum-2026-08-04-v1</t>
        </is>
      </c>
      <c r="X121" s="8" t="inlineStr">
        <is>
          <t>submitted table</t>
        </is>
      </c>
      <c r="Y121" s="8" t="inlineStr">
        <is>
          <t>yes</t>
        </is>
      </c>
    </row>
    <row r="122">
      <c r="A122" s="8" t="inlineStr">
        <is>
          <t>Methanocaldococcus_jannaschii_OE25MJAMPOS.mzML</t>
        </is>
      </c>
      <c r="B122" s="8" t="inlineStr">
        <is>
          <t>OE25MJAMPOS</t>
        </is>
      </c>
      <c r="C122" s="8" t="inlineStr">
        <is>
          <t>batch_04_OE26-1POS</t>
        </is>
      </c>
      <c r="D122" s="8" t="inlineStr">
        <is>
          <t>Archaea</t>
        </is>
      </c>
      <c r="E122" s="9" t="inlineStr">
        <is>
          <t>Methanobacteriota</t>
        </is>
      </c>
      <c r="F122" s="8" t="n">
        <v>28890</v>
      </c>
      <c r="G122" s="8" t="inlineStr">
        <is>
          <t>core_candidate</t>
        </is>
      </c>
      <c r="H122" s="8" t="inlineStr">
        <is>
          <t>Archaea</t>
        </is>
      </c>
      <c r="I122" s="8" t="inlineStr">
        <is>
          <t>Euryarchaeota</t>
        </is>
      </c>
      <c r="J122" s="8" t="inlineStr">
        <is>
          <t>yes</t>
        </is>
      </c>
      <c r="K122" s="8" t="inlineStr">
        <is>
          <t>Methanococci</t>
        </is>
      </c>
      <c r="L122" s="8" t="inlineStr">
        <is>
          <t>Methanococcales</t>
        </is>
      </c>
      <c r="M122" s="8" t="inlineStr">
        <is>
          <t>Methanocaldococcaceae</t>
        </is>
      </c>
      <c r="N122" s="8" t="inlineStr">
        <is>
          <t>Methanocaldococcus</t>
        </is>
      </c>
      <c r="O122" s="8" t="inlineStr">
        <is>
          <t>Methanocaldococcus jannaschii</t>
        </is>
      </c>
      <c r="P122" s="8" t="n">
        <v>2190</v>
      </c>
      <c r="Q122" s="8" t="inlineStr">
        <is>
          <t>mja</t>
        </is>
      </c>
      <c r="R122" s="8" t="n"/>
      <c r="S122" s="8" t="inlineStr">
        <is>
          <t>282</t>
        </is>
      </c>
      <c r="T122" s="8" t="n">
        <v>80</v>
      </c>
      <c r="U122" s="8" t="inlineStr">
        <is>
          <t>anaerobic</t>
        </is>
      </c>
      <c r="V122" s="8" t="n"/>
      <c r="W122" s="8" t="inlineStr">
        <is>
          <t>ncbi-phylum-2026-08-04-v1</t>
        </is>
      </c>
      <c r="X122" s="8" t="inlineStr">
        <is>
          <t>submitted table</t>
        </is>
      </c>
      <c r="Y122" s="8" t="inlineStr">
        <is>
          <t>yes</t>
        </is>
      </c>
    </row>
    <row r="123">
      <c r="A123" s="8" t="inlineStr">
        <is>
          <t>Methanopyrus_kandleri_OE25MKANDELERIPOS.mzML</t>
        </is>
      </c>
      <c r="B123" s="8" t="inlineStr">
        <is>
          <t>OE25MKANDELERIPOS</t>
        </is>
      </c>
      <c r="C123" s="8" t="inlineStr">
        <is>
          <t>batch_04_OE26-1POS</t>
        </is>
      </c>
      <c r="D123" s="8" t="inlineStr">
        <is>
          <t>Archaea</t>
        </is>
      </c>
      <c r="E123" s="9" t="inlineStr">
        <is>
          <t>Methanobacteriota</t>
        </is>
      </c>
      <c r="F123" s="8" t="n">
        <v>28890</v>
      </c>
      <c r="G123" s="8" t="inlineStr">
        <is>
          <t>core_candidate</t>
        </is>
      </c>
      <c r="H123" s="8" t="inlineStr">
        <is>
          <t>Archaea</t>
        </is>
      </c>
      <c r="I123" s="8" t="inlineStr">
        <is>
          <t>Euryarchaeota</t>
        </is>
      </c>
      <c r="J123" s="8" t="inlineStr">
        <is>
          <t>yes</t>
        </is>
      </c>
      <c r="K123" s="8" t="inlineStr">
        <is>
          <t>Methanopyri</t>
        </is>
      </c>
      <c r="L123" s="8" t="inlineStr">
        <is>
          <t>Methanopyrales</t>
        </is>
      </c>
      <c r="M123" s="8" t="inlineStr">
        <is>
          <t>Methanopyraceae</t>
        </is>
      </c>
      <c r="N123" s="8" t="inlineStr">
        <is>
          <t>Methanopyrus</t>
        </is>
      </c>
      <c r="O123" s="8" t="inlineStr">
        <is>
          <t>Methanopyrus kandleri</t>
        </is>
      </c>
      <c r="P123" s="8" t="n">
        <v>2320</v>
      </c>
      <c r="Q123" s="8" t="inlineStr">
        <is>
          <t>mka</t>
        </is>
      </c>
      <c r="R123" s="8" t="n"/>
      <c r="S123" s="8" t="inlineStr">
        <is>
          <t>511</t>
        </is>
      </c>
      <c r="T123" s="8" t="n">
        <v>98</v>
      </c>
      <c r="U123" s="8" t="inlineStr">
        <is>
          <t>anaerobic</t>
        </is>
      </c>
      <c r="V123" s="8" t="n"/>
      <c r="W123" s="8" t="inlineStr">
        <is>
          <t>ncbi-phylum-2026-08-04-v1</t>
        </is>
      </c>
      <c r="X123" s="8" t="inlineStr">
        <is>
          <t>submitted table</t>
        </is>
      </c>
      <c r="Y123" s="8" t="inlineStr">
        <is>
          <t>yes</t>
        </is>
      </c>
    </row>
    <row r="124">
      <c r="A124" s="8" t="inlineStr">
        <is>
          <t>Methanothermobacter_marburgensis_OE25MMURBA-POS.mzML</t>
        </is>
      </c>
      <c r="B124" s="8" t="inlineStr">
        <is>
          <t>OE25MMURBA-POS</t>
        </is>
      </c>
      <c r="C124" s="8" t="inlineStr">
        <is>
          <t>batch_04_OE26-1POS</t>
        </is>
      </c>
      <c r="D124" s="8" t="inlineStr">
        <is>
          <t>Archaea</t>
        </is>
      </c>
      <c r="E124" s="9" t="inlineStr">
        <is>
          <t>Methanobacteriota</t>
        </is>
      </c>
      <c r="F124" s="8" t="n">
        <v>28890</v>
      </c>
      <c r="G124" s="8" t="inlineStr">
        <is>
          <t>core_candidate</t>
        </is>
      </c>
      <c r="H124" s="8" t="inlineStr">
        <is>
          <t>Archaea</t>
        </is>
      </c>
      <c r="I124" s="8" t="inlineStr">
        <is>
          <t>Euryarchaeota</t>
        </is>
      </c>
      <c r="J124" s="8" t="inlineStr">
        <is>
          <t>yes</t>
        </is>
      </c>
      <c r="K124" s="8" t="inlineStr">
        <is>
          <t>Methanobacteria</t>
        </is>
      </c>
      <c r="L124" s="8" t="inlineStr">
        <is>
          <t>Methanobacteriales</t>
        </is>
      </c>
      <c r="M124" s="8" t="inlineStr">
        <is>
          <t>Methanobacteriaceae</t>
        </is>
      </c>
      <c r="N124" s="8" t="inlineStr">
        <is>
          <t>Methanothermobacter</t>
        </is>
      </c>
      <c r="O124" s="8" t="inlineStr">
        <is>
          <t>Methanothermobacter marburgensis</t>
        </is>
      </c>
      <c r="P124" s="8" t="n">
        <v>79929</v>
      </c>
      <c r="Q124" s="8" t="inlineStr">
        <is>
          <t>mmg</t>
        </is>
      </c>
      <c r="R124" s="8" t="n"/>
      <c r="S124" s="8" t="inlineStr">
        <is>
          <t>119</t>
        </is>
      </c>
      <c r="T124" s="8" t="n">
        <v>65</v>
      </c>
      <c r="U124" s="8" t="inlineStr">
        <is>
          <t>anaerobic</t>
        </is>
      </c>
      <c r="V124" s="8" t="n"/>
      <c r="W124" s="8" t="inlineStr">
        <is>
          <t>ncbi-phylum-2026-08-04-v1</t>
        </is>
      </c>
      <c r="X124" s="8" t="inlineStr">
        <is>
          <t>submitted table</t>
        </is>
      </c>
      <c r="Y124" s="8" t="inlineStr">
        <is>
          <t>yes</t>
        </is>
      </c>
    </row>
    <row r="125">
      <c r="A125" s="8" t="inlineStr">
        <is>
          <t>Methanothermococcus_okinawensis_OE25MOKINAWAPOS.mzML</t>
        </is>
      </c>
      <c r="B125" s="8" t="inlineStr">
        <is>
          <t>OE25MOKINAWAPOS</t>
        </is>
      </c>
      <c r="C125" s="8" t="inlineStr">
        <is>
          <t>batch_04_OE26-1POS</t>
        </is>
      </c>
      <c r="D125" s="8" t="inlineStr">
        <is>
          <t>Archaea</t>
        </is>
      </c>
      <c r="E125" s="9" t="inlineStr">
        <is>
          <t>Methanobacteriota</t>
        </is>
      </c>
      <c r="F125" s="8" t="n">
        <v>28890</v>
      </c>
      <c r="G125" s="8" t="inlineStr">
        <is>
          <t>core_candidate</t>
        </is>
      </c>
      <c r="H125" s="8" t="inlineStr">
        <is>
          <t>Archaea</t>
        </is>
      </c>
      <c r="I125" s="8" t="inlineStr">
        <is>
          <t>Euryarchaeota</t>
        </is>
      </c>
      <c r="J125" s="8" t="inlineStr">
        <is>
          <t>yes</t>
        </is>
      </c>
      <c r="K125" s="8" t="inlineStr">
        <is>
          <t>Methanococci</t>
        </is>
      </c>
      <c r="L125" s="8" t="inlineStr">
        <is>
          <t>Methanococcales</t>
        </is>
      </c>
      <c r="M125" s="8" t="inlineStr">
        <is>
          <t>Methanococcaceae</t>
        </is>
      </c>
      <c r="N125" s="8" t="inlineStr">
        <is>
          <t>Methanothermococcus</t>
        </is>
      </c>
      <c r="O125" s="8" t="inlineStr">
        <is>
          <t>Methanothermococcus okinawensis</t>
        </is>
      </c>
      <c r="P125" s="8" t="n">
        <v>155863</v>
      </c>
      <c r="Q125" s="8" t="inlineStr">
        <is>
          <t>mok</t>
        </is>
      </c>
      <c r="R125" s="8" t="n"/>
      <c r="S125" s="8" t="inlineStr">
        <is>
          <t>282</t>
        </is>
      </c>
      <c r="T125" s="8" t="n">
        <v>65</v>
      </c>
      <c r="U125" s="8" t="inlineStr">
        <is>
          <t>anaerobic</t>
        </is>
      </c>
      <c r="V125" s="8" t="n"/>
      <c r="W125" s="8" t="inlineStr">
        <is>
          <t>ncbi-phylum-2026-08-04-v1</t>
        </is>
      </c>
      <c r="X125" s="8" t="inlineStr">
        <is>
          <t>submitted table</t>
        </is>
      </c>
      <c r="Y125" s="8" t="inlineStr">
        <is>
          <t>yes</t>
        </is>
      </c>
    </row>
    <row r="126">
      <c r="A126" s="8" t="inlineStr">
        <is>
          <t>Methanospirillum_stamsii_OE25MSTAMSIIPOS.mzML</t>
        </is>
      </c>
      <c r="B126" s="8" t="inlineStr">
        <is>
          <t>OE25MSTAMSIIPOS</t>
        </is>
      </c>
      <c r="C126" s="8" t="inlineStr">
        <is>
          <t>batch_04_OE26-1POS</t>
        </is>
      </c>
      <c r="D126" s="8" t="inlineStr">
        <is>
          <t>Archaea</t>
        </is>
      </c>
      <c r="E126" s="9" t="inlineStr">
        <is>
          <t>Methanobacteriota</t>
        </is>
      </c>
      <c r="F126" s="8" t="n">
        <v>28890</v>
      </c>
      <c r="G126" s="8" t="inlineStr">
        <is>
          <t>core_candidate</t>
        </is>
      </c>
      <c r="H126" s="8" t="inlineStr">
        <is>
          <t>Archaea</t>
        </is>
      </c>
      <c r="I126" s="8" t="inlineStr">
        <is>
          <t>Euryarchaeota</t>
        </is>
      </c>
      <c r="J126" s="8" t="inlineStr">
        <is>
          <t>yes</t>
        </is>
      </c>
      <c r="K126" s="8" t="inlineStr">
        <is>
          <t>Methanomicrobia</t>
        </is>
      </c>
      <c r="L126" s="8" t="inlineStr">
        <is>
          <t>Methanomicrobiales</t>
        </is>
      </c>
      <c r="M126" s="8" t="inlineStr">
        <is>
          <t>Methanospirillaceae</t>
        </is>
      </c>
      <c r="N126" s="8" t="inlineStr">
        <is>
          <t>Methanospirillum</t>
        </is>
      </c>
      <c r="O126" s="8" t="inlineStr">
        <is>
          <t>Methanospirillum stamsii</t>
        </is>
      </c>
      <c r="P126" s="8" t="n">
        <v>1471542</v>
      </c>
      <c r="Q126" s="8" t="inlineStr">
        <is>
          <t>mhu</t>
        </is>
      </c>
      <c r="R126" s="8" t="n"/>
      <c r="S126" s="8" t="inlineStr">
        <is>
          <t>119</t>
        </is>
      </c>
      <c r="T126" s="8" t="n">
        <v>29</v>
      </c>
      <c r="U126" s="8" t="inlineStr">
        <is>
          <t>anaerobic</t>
        </is>
      </c>
      <c r="V126" s="8" t="n">
        <v>7</v>
      </c>
      <c r="W126" s="8" t="inlineStr">
        <is>
          <t>ncbi-phylum-2026-08-04-v1</t>
        </is>
      </c>
      <c r="X126" s="8" t="inlineStr">
        <is>
          <t>submitted table</t>
        </is>
      </c>
      <c r="Y126" s="8" t="inlineStr">
        <is>
          <t>yes</t>
        </is>
      </c>
    </row>
    <row r="127">
      <c r="A127" s="8" t="inlineStr">
        <is>
          <t>Naegleria_galeacystis_OE25NG1POS.mzML</t>
        </is>
      </c>
      <c r="B127" s="8" t="inlineStr">
        <is>
          <t>OE25NG1POS</t>
        </is>
      </c>
      <c r="C127" s="8" t="inlineStr">
        <is>
          <t>batch_04_OE26-1POS</t>
        </is>
      </c>
      <c r="D127" s="8" t="inlineStr">
        <is>
          <t>Protists</t>
        </is>
      </c>
      <c r="E127" s="8" t="inlineStr">
        <is>
          <t>Heterolobosea</t>
        </is>
      </c>
      <c r="F127" s="8" t="n">
        <v>5752</v>
      </c>
      <c r="G127" s="8" t="inlineStr">
        <is>
          <t>core_candidate</t>
        </is>
      </c>
      <c r="H127" s="8" t="inlineStr">
        <is>
          <t>Protozoa</t>
        </is>
      </c>
      <c r="I127" s="8" t="inlineStr">
        <is>
          <t>Heterolobosea</t>
        </is>
      </c>
      <c r="J127" s="8" t="n"/>
      <c r="K127" s="8" t="inlineStr">
        <is>
          <t>Heterolobosea</t>
        </is>
      </c>
      <c r="L127" s="8" t="inlineStr">
        <is>
          <t>Schizopyrenida</t>
        </is>
      </c>
      <c r="M127" s="8" t="inlineStr">
        <is>
          <t>Vahlkampfiidae</t>
        </is>
      </c>
      <c r="N127" s="8" t="inlineStr">
        <is>
          <t>Naegleria</t>
        </is>
      </c>
      <c r="O127" s="8" t="inlineStr">
        <is>
          <t>Naegleria galeacystis</t>
        </is>
      </c>
      <c r="P127" s="8" t="n">
        <v>554313</v>
      </c>
      <c r="Q127" s="8" t="inlineStr">
        <is>
          <t>ngr</t>
        </is>
      </c>
      <c r="R127" s="8" t="n"/>
      <c r="S127" s="8" t="n"/>
      <c r="T127" s="8" t="n"/>
      <c r="U127" s="8" t="n"/>
      <c r="V127" s="8" t="n"/>
      <c r="W127" s="8" t="inlineStr">
        <is>
          <t>ncbi-phylum-2026-08-04-v1</t>
        </is>
      </c>
      <c r="X127" s="8" t="inlineStr">
        <is>
          <t>submitted table</t>
        </is>
      </c>
      <c r="Y127" s="8" t="inlineStr">
        <is>
          <t>yes</t>
        </is>
      </c>
    </row>
    <row r="128">
      <c r="A128" s="8" t="inlineStr">
        <is>
          <t>Rhogostoma_minus_OE25Rhogo-1POS.mzML</t>
        </is>
      </c>
      <c r="B128" s="8" t="inlineStr">
        <is>
          <t>OE25Rhogo-1POS</t>
        </is>
      </c>
      <c r="C128" s="8" t="inlineStr">
        <is>
          <t>batch_04_OE26-1POS</t>
        </is>
      </c>
      <c r="D128" s="8" t="inlineStr">
        <is>
          <t>Protists</t>
        </is>
      </c>
      <c r="E128" s="8" t="inlineStr">
        <is>
          <t>Cercozoa</t>
        </is>
      </c>
      <c r="F128" s="8" t="n">
        <v>136419</v>
      </c>
      <c r="G128" s="8" t="inlineStr">
        <is>
          <t>core_candidate</t>
        </is>
      </c>
      <c r="H128" s="8" t="inlineStr">
        <is>
          <t>Protozoa</t>
        </is>
      </c>
      <c r="I128" s="8" t="inlineStr">
        <is>
          <t>Cercozoa</t>
        </is>
      </c>
      <c r="J128" s="8" t="n"/>
      <c r="K128" s="8" t="inlineStr">
        <is>
          <t>Granofilosea</t>
        </is>
      </c>
      <c r="L128" s="8" t="inlineStr">
        <is>
          <t>Tectofilosida</t>
        </is>
      </c>
      <c r="M128" s="8" t="inlineStr">
        <is>
          <t>Rhogostomidae</t>
        </is>
      </c>
      <c r="N128" s="8" t="inlineStr">
        <is>
          <t>Rhogostoma</t>
        </is>
      </c>
      <c r="O128" s="8" t="inlineStr">
        <is>
          <t>Rhogostoma minus</t>
        </is>
      </c>
      <c r="P128" s="8" t="n">
        <v>1006009</v>
      </c>
      <c r="Q128" s="8" t="n"/>
      <c r="R128" s="8" t="n"/>
      <c r="S128" s="8" t="inlineStr">
        <is>
          <t>Yeast</t>
        </is>
      </c>
      <c r="T128" s="8" t="n"/>
      <c r="U128" s="8" t="n"/>
      <c r="V128" s="8" t="n"/>
      <c r="W128" s="8" t="inlineStr">
        <is>
          <t>ncbi-phylum-2026-08-04-v1</t>
        </is>
      </c>
      <c r="X128" s="8" t="inlineStr">
        <is>
          <t>submitted table</t>
        </is>
      </c>
      <c r="Y128" s="8" t="inlineStr">
        <is>
          <t>yes</t>
        </is>
      </c>
    </row>
    <row r="129">
      <c r="A129" s="8" t="inlineStr">
        <is>
          <t>24A1-A2-A3POS.mzML</t>
        </is>
      </c>
      <c r="B129" s="8" t="inlineStr">
        <is>
          <t>24A1-A2-A3POS</t>
        </is>
      </c>
      <c r="C129" s="8" t="inlineStr">
        <is>
          <t>batch_05_OE25-1-ALL</t>
        </is>
      </c>
      <c r="D129" s="8" t="inlineStr">
        <is>
          <t>Protists</t>
        </is>
      </c>
      <c r="E129" s="9" t="inlineStr">
        <is>
          <t>Evosea</t>
        </is>
      </c>
      <c r="F129" s="8" t="n">
        <v>2605435</v>
      </c>
      <c r="G129" s="8" t="inlineStr">
        <is>
          <t>core_candidate</t>
        </is>
      </c>
      <c r="H129" s="8" t="inlineStr">
        <is>
          <t>Protozoa</t>
        </is>
      </c>
      <c r="I129" s="8" t="inlineStr">
        <is>
          <t>Amoebozoa</t>
        </is>
      </c>
      <c r="J129" s="8" t="inlineStr">
        <is>
          <t>yes</t>
        </is>
      </c>
      <c r="K129" s="8" t="inlineStr">
        <is>
          <t>Dictyostelia</t>
        </is>
      </c>
      <c r="L129" s="8" t="inlineStr">
        <is>
          <t>Dictyosteliida</t>
        </is>
      </c>
      <c r="M129" s="8" t="inlineStr">
        <is>
          <t>Dictyosteliidae</t>
        </is>
      </c>
      <c r="N129" s="8" t="inlineStr">
        <is>
          <t>Dictyostelium discoideum QS1024_apo</t>
        </is>
      </c>
      <c r="O129" s="8" t="n"/>
      <c r="P129" s="8" t="n">
        <v>44689</v>
      </c>
      <c r="Q129" s="8" t="inlineStr">
        <is>
          <t>ddi</t>
        </is>
      </c>
      <c r="R129" s="8" t="n">
        <v>5035.93</v>
      </c>
      <c r="S129" s="8" t="n"/>
      <c r="T129" s="8" t="n"/>
      <c r="U129" s="8" t="n"/>
      <c r="V129" s="8" t="n"/>
      <c r="W129" s="8" t="inlineStr">
        <is>
          <t>ncbi-phylum-2026-08-04-v1</t>
        </is>
      </c>
      <c r="X129" s="8" t="inlineStr">
        <is>
          <t>submitted table</t>
        </is>
      </c>
      <c r="Y129" s="8" t="inlineStr">
        <is>
          <t>yes</t>
        </is>
      </c>
    </row>
    <row r="130">
      <c r="A130" s="8" t="inlineStr">
        <is>
          <t>24S3POS.mzML</t>
        </is>
      </c>
      <c r="B130" s="8" t="inlineStr">
        <is>
          <t>24S3POS</t>
        </is>
      </c>
      <c r="C130" s="8" t="inlineStr">
        <is>
          <t>batch_05_OE25-1-ALL</t>
        </is>
      </c>
      <c r="D130" s="8" t="inlineStr">
        <is>
          <t>Protists</t>
        </is>
      </c>
      <c r="E130" s="9" t="inlineStr">
        <is>
          <t>Evosea</t>
        </is>
      </c>
      <c r="F130" s="8" t="n">
        <v>2605435</v>
      </c>
      <c r="G130" s="8" t="inlineStr">
        <is>
          <t>core_candidate</t>
        </is>
      </c>
      <c r="H130" s="8" t="inlineStr">
        <is>
          <t>Protozoa</t>
        </is>
      </c>
      <c r="I130" s="8" t="inlineStr">
        <is>
          <t>Amoebozoa</t>
        </is>
      </c>
      <c r="J130" s="8" t="inlineStr">
        <is>
          <t>yes</t>
        </is>
      </c>
      <c r="K130" s="8" t="inlineStr">
        <is>
          <t>Dictyostelia</t>
        </is>
      </c>
      <c r="L130" s="8" t="inlineStr">
        <is>
          <t>Dictyosteliida</t>
        </is>
      </c>
      <c r="M130" s="8" t="inlineStr">
        <is>
          <t>Dictyosteliidae</t>
        </is>
      </c>
      <c r="N130" s="8" t="inlineStr">
        <is>
          <t>Dictyostelium discoideum QS1024_sym</t>
        </is>
      </c>
      <c r="O130" s="8" t="n"/>
      <c r="P130" s="8" t="n">
        <v>44689</v>
      </c>
      <c r="Q130" s="8" t="inlineStr">
        <is>
          <t>ddi</t>
        </is>
      </c>
      <c r="R130" s="8" t="n">
        <v>5125.61</v>
      </c>
      <c r="S130" s="8" t="n"/>
      <c r="T130" s="8" t="n"/>
      <c r="U130" s="8" t="n"/>
      <c r="V130" s="8" t="n"/>
      <c r="W130" s="8" t="inlineStr">
        <is>
          <t>ncbi-phylum-2026-08-04-v1</t>
        </is>
      </c>
      <c r="X130" s="8" t="inlineStr">
        <is>
          <t>submitted table</t>
        </is>
      </c>
      <c r="Y130" s="8" t="inlineStr">
        <is>
          <t>yes</t>
        </is>
      </c>
    </row>
    <row r="131">
      <c r="A131" s="8" t="inlineStr">
        <is>
          <t>25S1-S2POS.mzML</t>
        </is>
      </c>
      <c r="B131" s="8" t="inlineStr">
        <is>
          <t>25S1-S2POS</t>
        </is>
      </c>
      <c r="C131" s="8" t="inlineStr">
        <is>
          <t>batch_05_OE25-1-ALL</t>
        </is>
      </c>
      <c r="D131" s="8" t="inlineStr">
        <is>
          <t>Protists</t>
        </is>
      </c>
      <c r="E131" s="9" t="inlineStr">
        <is>
          <t>Evosea</t>
        </is>
      </c>
      <c r="F131" s="8" t="n">
        <v>2605435</v>
      </c>
      <c r="G131" s="8" t="inlineStr">
        <is>
          <t>core_candidate</t>
        </is>
      </c>
      <c r="H131" s="8" t="inlineStr">
        <is>
          <t>Protozoa</t>
        </is>
      </c>
      <c r="I131" s="8" t="inlineStr">
        <is>
          <t>Amoebozoa</t>
        </is>
      </c>
      <c r="J131" s="8" t="inlineStr">
        <is>
          <t>yes</t>
        </is>
      </c>
      <c r="K131" s="8" t="inlineStr">
        <is>
          <t>Dictyostelia</t>
        </is>
      </c>
      <c r="L131" s="8" t="inlineStr">
        <is>
          <t>Dictyosteliida</t>
        </is>
      </c>
      <c r="M131" s="8" t="inlineStr">
        <is>
          <t>Dictyosteliidae</t>
        </is>
      </c>
      <c r="N131" s="8" t="inlineStr">
        <is>
          <t>Dictyostelium discoideum QS1024_sym</t>
        </is>
      </c>
      <c r="O131" s="8" t="n"/>
      <c r="P131" s="8" t="n">
        <v>44689</v>
      </c>
      <c r="Q131" s="8" t="inlineStr">
        <is>
          <t>ddi</t>
        </is>
      </c>
      <c r="R131" s="8" t="n">
        <v>5205.92</v>
      </c>
      <c r="S131" s="8" t="n"/>
      <c r="T131" s="8" t="n"/>
      <c r="U131" s="8" t="n"/>
      <c r="V131" s="8" t="n"/>
      <c r="W131" s="8" t="inlineStr">
        <is>
          <t>ncbi-phylum-2026-08-04-v1</t>
        </is>
      </c>
      <c r="X131" s="8" t="inlineStr">
        <is>
          <t>submitted table</t>
        </is>
      </c>
      <c r="Y131" s="8" t="inlineStr">
        <is>
          <t>yes</t>
        </is>
      </c>
    </row>
    <row r="132">
      <c r="A132" s="8" t="inlineStr">
        <is>
          <t>68A1-A2-A3POS.mzML</t>
        </is>
      </c>
      <c r="B132" s="8" t="inlineStr">
        <is>
          <t>68A1-A2-A3POS</t>
        </is>
      </c>
      <c r="C132" s="8" t="inlineStr">
        <is>
          <t>batch_05_OE25-1-ALL</t>
        </is>
      </c>
      <c r="D132" s="8" t="inlineStr">
        <is>
          <t>Protists</t>
        </is>
      </c>
      <c r="E132" s="9" t="inlineStr">
        <is>
          <t>Evosea</t>
        </is>
      </c>
      <c r="F132" s="8" t="n">
        <v>2605435</v>
      </c>
      <c r="G132" s="8" t="inlineStr">
        <is>
          <t>core_candidate</t>
        </is>
      </c>
      <c r="H132" s="8" t="inlineStr">
        <is>
          <t>Protozoa</t>
        </is>
      </c>
      <c r="I132" s="8" t="inlineStr">
        <is>
          <t>Amoebozoa</t>
        </is>
      </c>
      <c r="J132" s="8" t="inlineStr">
        <is>
          <t>yes</t>
        </is>
      </c>
      <c r="K132" s="8" t="inlineStr">
        <is>
          <t>Dictyostelia</t>
        </is>
      </c>
      <c r="L132" s="8" t="inlineStr">
        <is>
          <t>Dictyosteliida</t>
        </is>
      </c>
      <c r="M132" s="8" t="inlineStr">
        <is>
          <t>Dictyosteliidae</t>
        </is>
      </c>
      <c r="N132" s="8" t="inlineStr">
        <is>
          <t>Dictyostelium discoideum QS68_apo</t>
        </is>
      </c>
      <c r="O132" s="8" t="n"/>
      <c r="P132" s="8" t="n">
        <v>44689</v>
      </c>
      <c r="Q132" s="8" t="inlineStr">
        <is>
          <t>ddi</t>
        </is>
      </c>
      <c r="R132" s="8" t="n">
        <v>5560.88</v>
      </c>
      <c r="S132" s="8" t="n"/>
      <c r="T132" s="8" t="n"/>
      <c r="U132" s="8" t="n"/>
      <c r="V132" s="8" t="n"/>
      <c r="W132" s="8" t="inlineStr">
        <is>
          <t>ncbi-phylum-2026-08-04-v1</t>
        </is>
      </c>
      <c r="X132" s="8" t="inlineStr">
        <is>
          <t>submitted table</t>
        </is>
      </c>
      <c r="Y132" s="8" t="inlineStr">
        <is>
          <t>yes</t>
        </is>
      </c>
    </row>
    <row r="133">
      <c r="A133" s="8" t="inlineStr">
        <is>
          <t>68S1-S2-S3POS.mzML</t>
        </is>
      </c>
      <c r="B133" s="8" t="inlineStr">
        <is>
          <t>68S1-S2-S3POS</t>
        </is>
      </c>
      <c r="C133" s="8" t="inlineStr">
        <is>
          <t>batch_05_OE25-1-ALL</t>
        </is>
      </c>
      <c r="D133" s="8" t="inlineStr">
        <is>
          <t>Protists</t>
        </is>
      </c>
      <c r="E133" s="9" t="inlineStr">
        <is>
          <t>Evosea</t>
        </is>
      </c>
      <c r="F133" s="8" t="n">
        <v>2605435</v>
      </c>
      <c r="G133" s="8" t="inlineStr">
        <is>
          <t>core_candidate</t>
        </is>
      </c>
      <c r="H133" s="8" t="inlineStr">
        <is>
          <t>Protozoa</t>
        </is>
      </c>
      <c r="I133" s="8" t="inlineStr">
        <is>
          <t>Amoebozoa</t>
        </is>
      </c>
      <c r="J133" s="8" t="inlineStr">
        <is>
          <t>yes</t>
        </is>
      </c>
      <c r="K133" s="8" t="inlineStr">
        <is>
          <t>Dictyostelia</t>
        </is>
      </c>
      <c r="L133" s="8" t="inlineStr">
        <is>
          <t>Dictyosteliida</t>
        </is>
      </c>
      <c r="M133" s="8" t="inlineStr">
        <is>
          <t>Dictyosteliidae</t>
        </is>
      </c>
      <c r="N133" s="8" t="inlineStr">
        <is>
          <t>Dictyostelium discoideum QS68_sym</t>
        </is>
      </c>
      <c r="O133" s="8" t="n"/>
      <c r="P133" s="8" t="n">
        <v>44689</v>
      </c>
      <c r="Q133" s="8" t="inlineStr">
        <is>
          <t>ddi</t>
        </is>
      </c>
      <c r="R133" s="8" t="n">
        <v>4971.22</v>
      </c>
      <c r="S133" s="8" t="n"/>
      <c r="T133" s="8" t="n"/>
      <c r="U133" s="8" t="n"/>
      <c r="V133" s="8" t="n"/>
      <c r="W133" s="8" t="inlineStr">
        <is>
          <t>ncbi-phylum-2026-08-04-v1</t>
        </is>
      </c>
      <c r="X133" s="8" t="inlineStr">
        <is>
          <t>submitted table</t>
        </is>
      </c>
      <c r="Y133" s="8" t="inlineStr">
        <is>
          <t>yes</t>
        </is>
      </c>
    </row>
    <row r="134">
      <c r="A134" s="8" t="inlineStr">
        <is>
          <t>ACNeff1POS.mzML</t>
        </is>
      </c>
      <c r="B134" s="8" t="inlineStr">
        <is>
          <t>ACNEFF1POS</t>
        </is>
      </c>
      <c r="C134" s="8" t="inlineStr">
        <is>
          <t>batch_05_OE25-1-ALL</t>
        </is>
      </c>
      <c r="D134" s="8" t="inlineStr">
        <is>
          <t>Protists</t>
        </is>
      </c>
      <c r="E134" s="9" t="inlineStr">
        <is>
          <t>Discosea</t>
        </is>
      </c>
      <c r="F134" s="8" t="n">
        <v>555280</v>
      </c>
      <c r="G134" s="8" t="inlineStr">
        <is>
          <t>core_candidate</t>
        </is>
      </c>
      <c r="H134" s="8" t="inlineStr">
        <is>
          <t>Protozoa</t>
        </is>
      </c>
      <c r="I134" s="8" t="inlineStr">
        <is>
          <t>Amoebozoa</t>
        </is>
      </c>
      <c r="J134" s="8" t="inlineStr">
        <is>
          <t>yes</t>
        </is>
      </c>
      <c r="K134" s="8" t="inlineStr">
        <is>
          <t>Discosea</t>
        </is>
      </c>
      <c r="L134" s="8" t="inlineStr">
        <is>
          <t>Centramoebida</t>
        </is>
      </c>
      <c r="M134" s="8" t="inlineStr">
        <is>
          <t>Acanthamoebidae</t>
        </is>
      </c>
      <c r="N134" s="8" t="inlineStr">
        <is>
          <t>Acanthamoeba terricola</t>
        </is>
      </c>
      <c r="O134" s="8" t="inlineStr">
        <is>
          <t>Acanthamoeba terricola Neff</t>
        </is>
      </c>
      <c r="P134" s="8" t="n">
        <v>1577139</v>
      </c>
      <c r="Q134" s="8" t="inlineStr">
        <is>
          <t>acan</t>
        </is>
      </c>
      <c r="R134" s="8" t="n">
        <v>5234.15</v>
      </c>
      <c r="S134" s="8" t="n"/>
      <c r="T134" s="8" t="n"/>
      <c r="U134" s="8" t="n"/>
      <c r="V134" s="8" t="n"/>
      <c r="W134" s="8" t="inlineStr">
        <is>
          <t>ncbi-phylum-2026-08-04-v1</t>
        </is>
      </c>
      <c r="X134" s="8" t="inlineStr">
        <is>
          <t>submitted table</t>
        </is>
      </c>
      <c r="Y134" s="8" t="inlineStr">
        <is>
          <t>yes</t>
        </is>
      </c>
    </row>
    <row r="135">
      <c r="A135" s="8" t="inlineStr">
        <is>
          <t>ACNeff234POS.mzML</t>
        </is>
      </c>
      <c r="B135" s="8" t="inlineStr">
        <is>
          <t>ACNEFF234POS</t>
        </is>
      </c>
      <c r="C135" s="8" t="inlineStr">
        <is>
          <t>batch_05_OE25-1-ALL</t>
        </is>
      </c>
      <c r="D135" s="8" t="inlineStr">
        <is>
          <t>Protists</t>
        </is>
      </c>
      <c r="E135" s="9" t="inlineStr">
        <is>
          <t>Discosea</t>
        </is>
      </c>
      <c r="F135" s="8" t="n">
        <v>555280</v>
      </c>
      <c r="G135" s="8" t="inlineStr">
        <is>
          <t>core_candidate</t>
        </is>
      </c>
      <c r="H135" s="8" t="inlineStr">
        <is>
          <t>Protozoa</t>
        </is>
      </c>
      <c r="I135" s="8" t="inlineStr">
        <is>
          <t>Amoebozoa</t>
        </is>
      </c>
      <c r="J135" s="8" t="inlineStr">
        <is>
          <t>yes</t>
        </is>
      </c>
      <c r="K135" s="8" t="inlineStr">
        <is>
          <t>Discosea</t>
        </is>
      </c>
      <c r="L135" s="8" t="inlineStr">
        <is>
          <t>Centramoebida</t>
        </is>
      </c>
      <c r="M135" s="8" t="inlineStr">
        <is>
          <t>Acanthamoebidae</t>
        </is>
      </c>
      <c r="N135" s="8" t="inlineStr">
        <is>
          <t>Acanthamoeba terricola</t>
        </is>
      </c>
      <c r="O135" s="8" t="inlineStr">
        <is>
          <t>Acanthamoeba terricola Neff</t>
        </is>
      </c>
      <c r="P135" s="8" t="n">
        <v>1577139</v>
      </c>
      <c r="Q135" s="8" t="inlineStr">
        <is>
          <t>acan</t>
        </is>
      </c>
      <c r="R135" s="8" t="n">
        <v>4845.19</v>
      </c>
      <c r="S135" s="8" t="n"/>
      <c r="T135" s="8" t="n"/>
      <c r="U135" s="8" t="n"/>
      <c r="V135" s="8" t="n"/>
      <c r="W135" s="8" t="inlineStr">
        <is>
          <t>ncbi-phylum-2026-08-04-v1</t>
        </is>
      </c>
      <c r="X135" s="8" t="inlineStr">
        <is>
          <t>submitted table</t>
        </is>
      </c>
      <c r="Y135" s="8" t="inlineStr">
        <is>
          <t>yes</t>
        </is>
      </c>
    </row>
    <row r="136">
      <c r="A136" s="8" t="inlineStr">
        <is>
          <t>ACNeffE25-123POS.mzML</t>
        </is>
      </c>
      <c r="B136" s="8" t="inlineStr">
        <is>
          <t>23POS</t>
        </is>
      </c>
      <c r="C136" s="8" t="inlineStr">
        <is>
          <t>batch_05_OE25-1-ALL</t>
        </is>
      </c>
      <c r="D136" s="8" t="n"/>
      <c r="E136" s="9" t="n"/>
      <c r="F136" s="8" t="n"/>
      <c r="G136" s="8" t="inlineStr">
        <is>
          <t>excluded</t>
        </is>
      </c>
      <c r="H136" s="8" t="inlineStr">
        <is>
          <t>Protozoa</t>
        </is>
      </c>
      <c r="I136" s="8" t="inlineStr">
        <is>
          <t>Amoebozoa</t>
        </is>
      </c>
      <c r="J136" s="8" t="inlineStr">
        <is>
          <t>yes</t>
        </is>
      </c>
      <c r="K136" s="8" t="inlineStr">
        <is>
          <t>Discosea</t>
        </is>
      </c>
      <c r="L136" s="8" t="inlineStr">
        <is>
          <t>Centramoebida</t>
        </is>
      </c>
      <c r="M136" s="8" t="inlineStr">
        <is>
          <t>Acanthamoebidae</t>
        </is>
      </c>
      <c r="N136" s="8" t="inlineStr">
        <is>
          <t>Acanthamoeba terricola</t>
        </is>
      </c>
      <c r="O136" s="8" t="inlineStr">
        <is>
          <t>Acanthamoeba terricola Neff-E25</t>
        </is>
      </c>
      <c r="P136" s="8" t="n">
        <v>1577139</v>
      </c>
      <c r="Q136" s="8" t="inlineStr">
        <is>
          <t>acan</t>
        </is>
      </c>
      <c r="R136" s="8" t="n">
        <v>5310.5</v>
      </c>
      <c r="S136" s="8" t="n"/>
      <c r="T136" s="8" t="n"/>
      <c r="U136" s="8" t="n"/>
      <c r="V136" s="8" t="n"/>
      <c r="W136" s="8" t="inlineStr">
        <is>
          <t>ncbi-phylum-2026-08-04-v1</t>
        </is>
      </c>
      <c r="X136" s="8" t="inlineStr">
        <is>
          <t>submitted table</t>
        </is>
      </c>
      <c r="Y136" s="8" t="inlineStr">
        <is>
          <t>no</t>
        </is>
      </c>
    </row>
    <row r="137">
      <c r="A137" s="8" t="inlineStr">
        <is>
          <t>LHKa1POS.mzML</t>
        </is>
      </c>
      <c r="B137" s="8" t="inlineStr">
        <is>
          <t>LHKA1POS</t>
        </is>
      </c>
      <c r="C137" s="8" t="inlineStr">
        <is>
          <t>batch_05_OE25-1-ALL</t>
        </is>
      </c>
      <c r="D137" s="8" t="inlineStr">
        <is>
          <t>Bacteria</t>
        </is>
      </c>
      <c r="E137" s="8" t="inlineStr">
        <is>
          <t>Pseudomonadota</t>
        </is>
      </c>
      <c r="F137" s="8" t="n">
        <v>1224</v>
      </c>
      <c r="G137" s="8" t="inlineStr">
        <is>
          <t>core_candidate</t>
        </is>
      </c>
      <c r="H137" s="8" t="inlineStr">
        <is>
          <t>Bacteria</t>
        </is>
      </c>
      <c r="I137" s="8" t="inlineStr">
        <is>
          <t>Pseudomonadota</t>
        </is>
      </c>
      <c r="J137" s="8" t="n"/>
      <c r="K137" s="8" t="inlineStr">
        <is>
          <t>Gammaproteobacteria</t>
        </is>
      </c>
      <c r="L137" s="8" t="inlineStr">
        <is>
          <t>Enterobacterales</t>
        </is>
      </c>
      <c r="M137" s="8" t="inlineStr">
        <is>
          <t>Enterobacteriaceae</t>
        </is>
      </c>
      <c r="N137" s="8" t="inlineStr">
        <is>
          <t>Klebsiella aerogenes</t>
        </is>
      </c>
      <c r="O137" s="8" t="n"/>
      <c r="P137" s="8" t="n">
        <v>548</v>
      </c>
      <c r="Q137" s="8" t="inlineStr">
        <is>
          <t>eae</t>
        </is>
      </c>
      <c r="R137" s="8" t="n">
        <v>5463.42</v>
      </c>
      <c r="S137" s="8" t="n"/>
      <c r="T137" s="8" t="n"/>
      <c r="U137" s="8" t="n"/>
      <c r="V137" s="8" t="n"/>
      <c r="W137" s="8" t="inlineStr">
        <is>
          <t>ncbi-phylum-2026-08-04-v1</t>
        </is>
      </c>
      <c r="X137" s="8" t="inlineStr">
        <is>
          <t>submitted table</t>
        </is>
      </c>
      <c r="Y137" s="8" t="inlineStr">
        <is>
          <t>yes</t>
        </is>
      </c>
    </row>
    <row r="138">
      <c r="A138" s="8" t="inlineStr">
        <is>
          <t>LHKa2POS.mzML</t>
        </is>
      </c>
      <c r="B138" s="8" t="inlineStr">
        <is>
          <t>LHKA2POS</t>
        </is>
      </c>
      <c r="C138" s="8" t="inlineStr">
        <is>
          <t>batch_05_OE25-1-ALL</t>
        </is>
      </c>
      <c r="D138" s="8" t="inlineStr">
        <is>
          <t>Bacteria</t>
        </is>
      </c>
      <c r="E138" s="8" t="inlineStr">
        <is>
          <t>Pseudomonadota</t>
        </is>
      </c>
      <c r="F138" s="8" t="n">
        <v>1224</v>
      </c>
      <c r="G138" s="8" t="inlineStr">
        <is>
          <t>core_candidate</t>
        </is>
      </c>
      <c r="H138" s="8" t="inlineStr">
        <is>
          <t>Bacteria</t>
        </is>
      </c>
      <c r="I138" s="8" t="inlineStr">
        <is>
          <t>Pseudomonadota</t>
        </is>
      </c>
      <c r="J138" s="8" t="n"/>
      <c r="K138" s="8" t="inlineStr">
        <is>
          <t>Gammaproteobacteria</t>
        </is>
      </c>
      <c r="L138" s="8" t="inlineStr">
        <is>
          <t>Enterobacterales</t>
        </is>
      </c>
      <c r="M138" s="8" t="inlineStr">
        <is>
          <t>Enterobacteriaceae</t>
        </is>
      </c>
      <c r="N138" s="8" t="inlineStr">
        <is>
          <t>Klebsiella aerogenes</t>
        </is>
      </c>
      <c r="O138" s="8" t="n"/>
      <c r="P138" s="8" t="n">
        <v>548</v>
      </c>
      <c r="Q138" s="8" t="inlineStr">
        <is>
          <t>eae</t>
        </is>
      </c>
      <c r="R138" s="8" t="n">
        <v>5578.33</v>
      </c>
      <c r="S138" s="8" t="n"/>
      <c r="T138" s="8" t="n"/>
      <c r="U138" s="8" t="n"/>
      <c r="V138" s="8" t="n"/>
      <c r="W138" s="8" t="inlineStr">
        <is>
          <t>ncbi-phylum-2026-08-04-v1</t>
        </is>
      </c>
      <c r="X138" s="8" t="inlineStr">
        <is>
          <t>submitted table</t>
        </is>
      </c>
      <c r="Y138" s="8" t="inlineStr">
        <is>
          <t>yes</t>
        </is>
      </c>
    </row>
    <row r="139">
      <c r="A139" s="8" t="inlineStr">
        <is>
          <t>LHKa3POS.mzML</t>
        </is>
      </c>
      <c r="B139" s="8" t="inlineStr">
        <is>
          <t>LHKA3POS</t>
        </is>
      </c>
      <c r="C139" s="8" t="inlineStr">
        <is>
          <t>batch_05_OE25-1-ALL</t>
        </is>
      </c>
      <c r="D139" s="8" t="inlineStr">
        <is>
          <t>Bacteria</t>
        </is>
      </c>
      <c r="E139" s="8" t="inlineStr">
        <is>
          <t>Pseudomonadota</t>
        </is>
      </c>
      <c r="F139" s="8" t="n">
        <v>1224</v>
      </c>
      <c r="G139" s="8" t="inlineStr">
        <is>
          <t>core_candidate</t>
        </is>
      </c>
      <c r="H139" s="8" t="inlineStr">
        <is>
          <t>Bacteria</t>
        </is>
      </c>
      <c r="I139" s="8" t="inlineStr">
        <is>
          <t>Pseudomonadota</t>
        </is>
      </c>
      <c r="J139" s="8" t="n"/>
      <c r="K139" s="8" t="inlineStr">
        <is>
          <t>Gammaproteobacteria</t>
        </is>
      </c>
      <c r="L139" s="8" t="inlineStr">
        <is>
          <t>Enterobacterales</t>
        </is>
      </c>
      <c r="M139" s="8" t="inlineStr">
        <is>
          <t>Enterobacteriaceae</t>
        </is>
      </c>
      <c r="N139" s="8" t="inlineStr">
        <is>
          <t>Klebsiella aerogenes</t>
        </is>
      </c>
      <c r="O139" s="8" t="n"/>
      <c r="P139" s="8" t="n">
        <v>548</v>
      </c>
      <c r="Q139" s="8" t="inlineStr">
        <is>
          <t>eae</t>
        </is>
      </c>
      <c r="R139" s="8" t="n">
        <v>5640.62</v>
      </c>
      <c r="S139" s="8" t="n"/>
      <c r="T139" s="8" t="n"/>
      <c r="U139" s="8" t="n"/>
      <c r="V139" s="8" t="n"/>
      <c r="W139" s="8" t="inlineStr">
        <is>
          <t>ncbi-phylum-2026-08-04-v1</t>
        </is>
      </c>
      <c r="X139" s="8" t="inlineStr">
        <is>
          <t>submitted table</t>
        </is>
      </c>
      <c r="Y139" s="8" t="inlineStr">
        <is>
          <t>yes</t>
        </is>
      </c>
    </row>
    <row r="140">
      <c r="A140" s="8" t="inlineStr">
        <is>
          <t>N-clarki-1POS.mzML</t>
        </is>
      </c>
      <c r="B140" s="8" t="inlineStr">
        <is>
          <t>N-CLARKI-1POS</t>
        </is>
      </c>
      <c r="C140" s="8" t="inlineStr">
        <is>
          <t>batch_05_OE25-1-ALL</t>
        </is>
      </c>
      <c r="D140" s="8" t="inlineStr">
        <is>
          <t>Protists</t>
        </is>
      </c>
      <c r="E140" s="9" t="inlineStr">
        <is>
          <t>Heterolobosea</t>
        </is>
      </c>
      <c r="F140" s="8" t="n">
        <v>5752</v>
      </c>
      <c r="G140" s="8" t="inlineStr">
        <is>
          <t>core_candidate</t>
        </is>
      </c>
      <c r="H140" s="8" t="inlineStr">
        <is>
          <t>Protozoa</t>
        </is>
      </c>
      <c r="I140" s="8" t="inlineStr">
        <is>
          <t>Amoebozoa</t>
        </is>
      </c>
      <c r="J140" s="8" t="inlineStr">
        <is>
          <t>yes</t>
        </is>
      </c>
      <c r="K140" s="8" t="inlineStr">
        <is>
          <t>Heterolobosea</t>
        </is>
      </c>
      <c r="L140" s="8" t="inlineStr">
        <is>
          <t>Schizopyrenida</t>
        </is>
      </c>
      <c r="M140" s="8" t="inlineStr">
        <is>
          <t>Vahlkampfiidae</t>
        </is>
      </c>
      <c r="N140" s="8" t="inlineStr">
        <is>
          <t>Naegleria Clarki</t>
        </is>
      </c>
      <c r="O140" s="8" t="n"/>
      <c r="P140" s="8" t="n">
        <v>36333</v>
      </c>
      <c r="Q140" s="8" t="inlineStr">
        <is>
          <t>ngr</t>
        </is>
      </c>
      <c r="R140" s="8" t="n">
        <v>5196.12</v>
      </c>
      <c r="S140" s="8" t="n"/>
      <c r="T140" s="8" t="n"/>
      <c r="U140" s="8" t="n"/>
      <c r="V140" s="8" t="n"/>
      <c r="W140" s="8" t="inlineStr">
        <is>
          <t>ncbi-phylum-2026-08-04-v1</t>
        </is>
      </c>
      <c r="X140" s="8" t="inlineStr">
        <is>
          <t>submitted table</t>
        </is>
      </c>
      <c r="Y140" s="8" t="inlineStr">
        <is>
          <t>yes</t>
        </is>
      </c>
    </row>
    <row r="141">
      <c r="A141" s="8" t="inlineStr">
        <is>
          <t>NClarki2POS.mzML</t>
        </is>
      </c>
      <c r="B141" s="8" t="inlineStr">
        <is>
          <t>NCLARKI2POS</t>
        </is>
      </c>
      <c r="C141" s="8" t="inlineStr">
        <is>
          <t>batch_05_OE25-1-ALL</t>
        </is>
      </c>
      <c r="D141" s="8" t="inlineStr">
        <is>
          <t>Protists</t>
        </is>
      </c>
      <c r="E141" s="9" t="inlineStr">
        <is>
          <t>Heterolobosea</t>
        </is>
      </c>
      <c r="F141" s="8" t="n">
        <v>5752</v>
      </c>
      <c r="G141" s="8" t="inlineStr">
        <is>
          <t>core_candidate</t>
        </is>
      </c>
      <c r="H141" s="8" t="inlineStr">
        <is>
          <t>Protozoa</t>
        </is>
      </c>
      <c r="I141" s="8" t="inlineStr">
        <is>
          <t>Amoebozoa</t>
        </is>
      </c>
      <c r="J141" s="8" t="inlineStr">
        <is>
          <t>yes</t>
        </is>
      </c>
      <c r="K141" s="8" t="inlineStr">
        <is>
          <t>Heterolobosea</t>
        </is>
      </c>
      <c r="L141" s="8" t="inlineStr">
        <is>
          <t>Schizopyrenida</t>
        </is>
      </c>
      <c r="M141" s="8" t="inlineStr">
        <is>
          <t>Vahlkampfiidae</t>
        </is>
      </c>
      <c r="N141" s="8" t="inlineStr">
        <is>
          <t>Naegleria Clarki</t>
        </is>
      </c>
      <c r="O141" s="8" t="n"/>
      <c r="P141" s="8" t="n">
        <v>36333</v>
      </c>
      <c r="Q141" s="8" t="inlineStr">
        <is>
          <t>ngr</t>
        </is>
      </c>
      <c r="R141" s="8" t="n">
        <v>5104.37</v>
      </c>
      <c r="S141" s="8" t="n"/>
      <c r="T141" s="8" t="n"/>
      <c r="U141" s="8" t="n"/>
      <c r="V141" s="8" t="n"/>
      <c r="W141" s="8" t="inlineStr">
        <is>
          <t>ncbi-phylum-2026-08-04-v1</t>
        </is>
      </c>
      <c r="X141" s="8" t="inlineStr">
        <is>
          <t>submitted table</t>
        </is>
      </c>
      <c r="Y141" s="8" t="inlineStr">
        <is>
          <t>yes</t>
        </is>
      </c>
    </row>
    <row r="142">
      <c r="A142" s="8" t="inlineStr">
        <is>
          <t>Nkorea-1POS.mzML</t>
        </is>
      </c>
      <c r="B142" s="8" t="inlineStr">
        <is>
          <t>NKOREA-1POS</t>
        </is>
      </c>
      <c r="C142" s="8" t="inlineStr">
        <is>
          <t>batch_05_OE25-1-ALL</t>
        </is>
      </c>
      <c r="D142" s="8" t="inlineStr">
        <is>
          <t>Protists</t>
        </is>
      </c>
      <c r="E142" s="9" t="inlineStr">
        <is>
          <t>Heterolobosea</t>
        </is>
      </c>
      <c r="F142" s="8" t="n">
        <v>5752</v>
      </c>
      <c r="G142" s="8" t="inlineStr">
        <is>
          <t>core_candidate</t>
        </is>
      </c>
      <c r="H142" s="8" t="inlineStr">
        <is>
          <t>Protozoa</t>
        </is>
      </c>
      <c r="I142" s="8" t="inlineStr">
        <is>
          <t>Amoebozoa</t>
        </is>
      </c>
      <c r="J142" s="8" t="inlineStr">
        <is>
          <t>yes</t>
        </is>
      </c>
      <c r="K142" s="8" t="inlineStr">
        <is>
          <t>Heterolobosea</t>
        </is>
      </c>
      <c r="L142" s="8" t="inlineStr">
        <is>
          <t>Schizopyrenida</t>
        </is>
      </c>
      <c r="M142" s="8" t="inlineStr">
        <is>
          <t>Vahlkampfiidae</t>
        </is>
      </c>
      <c r="N142" s="8" t="inlineStr">
        <is>
          <t>Naegleria Koreanum</t>
        </is>
      </c>
      <c r="O142" s="8" t="n"/>
      <c r="P142" s="8" t="n">
        <v>5761</v>
      </c>
      <c r="Q142" s="8" t="inlineStr">
        <is>
          <t>ngr</t>
        </is>
      </c>
      <c r="R142" s="8" t="n">
        <v>4888.63</v>
      </c>
      <c r="S142" s="8" t="n"/>
      <c r="T142" s="8" t="n"/>
      <c r="U142" s="8" t="n"/>
      <c r="V142" s="8" t="n"/>
      <c r="W142" s="8" t="inlineStr">
        <is>
          <t>ncbi-phylum-2026-08-04-v1</t>
        </is>
      </c>
      <c r="X142" s="8" t="inlineStr">
        <is>
          <t>submitted table</t>
        </is>
      </c>
      <c r="Y142" s="8" t="inlineStr">
        <is>
          <t>yes</t>
        </is>
      </c>
    </row>
    <row r="143">
      <c r="A143" s="8" t="inlineStr">
        <is>
          <t>Nkorea2POS.mzML</t>
        </is>
      </c>
      <c r="B143" s="8" t="inlineStr">
        <is>
          <t>NKOREA2POS</t>
        </is>
      </c>
      <c r="C143" s="8" t="inlineStr">
        <is>
          <t>batch_05_OE25-1-ALL</t>
        </is>
      </c>
      <c r="D143" s="8" t="inlineStr">
        <is>
          <t>Protists</t>
        </is>
      </c>
      <c r="E143" s="9" t="inlineStr">
        <is>
          <t>Heterolobosea</t>
        </is>
      </c>
      <c r="F143" s="8" t="n">
        <v>5752</v>
      </c>
      <c r="G143" s="8" t="inlineStr">
        <is>
          <t>core_candidate</t>
        </is>
      </c>
      <c r="H143" s="8" t="inlineStr">
        <is>
          <t>Protozoa</t>
        </is>
      </c>
      <c r="I143" s="8" t="inlineStr">
        <is>
          <t>Amoebozoa</t>
        </is>
      </c>
      <c r="J143" s="8" t="inlineStr">
        <is>
          <t>yes</t>
        </is>
      </c>
      <c r="K143" s="8" t="inlineStr">
        <is>
          <t>Heterolobosea</t>
        </is>
      </c>
      <c r="L143" s="8" t="inlineStr">
        <is>
          <t>Schizopyrenida</t>
        </is>
      </c>
      <c r="M143" s="8" t="inlineStr">
        <is>
          <t>Vahlkampfiidae</t>
        </is>
      </c>
      <c r="N143" s="8" t="inlineStr">
        <is>
          <t>Naegleria Koreanum</t>
        </is>
      </c>
      <c r="O143" s="8" t="n"/>
      <c r="P143" s="8" t="n">
        <v>5761</v>
      </c>
      <c r="Q143" s="8" t="inlineStr">
        <is>
          <t>ngr</t>
        </is>
      </c>
      <c r="R143" s="8" t="n">
        <v>4732.64</v>
      </c>
      <c r="S143" s="8" t="n"/>
      <c r="T143" s="8" t="n"/>
      <c r="U143" s="8" t="n"/>
      <c r="V143" s="8" t="n"/>
      <c r="W143" s="8" t="inlineStr">
        <is>
          <t>ncbi-phylum-2026-08-04-v1</t>
        </is>
      </c>
      <c r="X143" s="8" t="inlineStr">
        <is>
          <t>submitted table</t>
        </is>
      </c>
      <c r="Y143" s="8" t="inlineStr">
        <is>
          <t>yes</t>
        </is>
      </c>
    </row>
    <row r="144">
      <c r="A144" s="8" t="inlineStr">
        <is>
          <t>P12233-1POS.mzML</t>
        </is>
      </c>
      <c r="B144" s="8" t="inlineStr">
        <is>
          <t>P12233-1POS</t>
        </is>
      </c>
      <c r="C144" s="8" t="inlineStr">
        <is>
          <t>batch_05_OE25-1-ALL</t>
        </is>
      </c>
      <c r="D144" s="8" t="inlineStr">
        <is>
          <t>Bacteria</t>
        </is>
      </c>
      <c r="E144" s="8" t="inlineStr">
        <is>
          <t>Bacillota</t>
        </is>
      </c>
      <c r="F144" s="8" t="n">
        <v>1239</v>
      </c>
      <c r="G144" s="8" t="inlineStr">
        <is>
          <t>core_candidate</t>
        </is>
      </c>
      <c r="H144" s="8" t="inlineStr">
        <is>
          <t>Bacteria</t>
        </is>
      </c>
      <c r="I144" s="8" t="inlineStr">
        <is>
          <t>Bacillota</t>
        </is>
      </c>
      <c r="J144" s="8" t="n"/>
      <c r="K144" s="8" t="inlineStr">
        <is>
          <t>Bacilli</t>
        </is>
      </c>
      <c r="L144" s="8" t="inlineStr">
        <is>
          <t>Caryophanales</t>
        </is>
      </c>
      <c r="M144" s="8" t="inlineStr">
        <is>
          <t>Planococcaceae</t>
        </is>
      </c>
      <c r="N144" s="8" t="inlineStr">
        <is>
          <t>Paenisporosarcina sp. nov</t>
        </is>
      </c>
      <c r="O144" s="8" t="n"/>
      <c r="P144" s="8" t="n">
        <v>651660</v>
      </c>
      <c r="Q144" s="8" t="n"/>
      <c r="R144" s="8" t="n">
        <v>5603.3</v>
      </c>
      <c r="S144" s="8" t="n"/>
      <c r="T144" s="8" t="n"/>
      <c r="U144" s="8" t="n"/>
      <c r="V144" s="8" t="n"/>
      <c r="W144" s="8" t="inlineStr">
        <is>
          <t>ncbi-phylum-2026-08-04-v1</t>
        </is>
      </c>
      <c r="X144" s="8" t="inlineStr">
        <is>
          <t>submitted table</t>
        </is>
      </c>
      <c r="Y144" s="8" t="inlineStr">
        <is>
          <t>yes</t>
        </is>
      </c>
    </row>
    <row r="145">
      <c r="A145" s="8" t="inlineStr">
        <is>
          <t>BIGV3-POS.mzML</t>
        </is>
      </c>
      <c r="B145" s="8" t="inlineStr">
        <is>
          <t>BIGV3-POS</t>
        </is>
      </c>
      <c r="C145" s="8" t="inlineStr">
        <is>
          <t>batch_06_ALL-25-2</t>
        </is>
      </c>
      <c r="D145" s="8" t="n"/>
      <c r="E145" s="9" t="n"/>
      <c r="F145" s="8" t="n"/>
      <c r="G145" s="8" t="inlineStr">
        <is>
          <t>descriptive_only</t>
        </is>
      </c>
      <c r="H145" s="8" t="inlineStr">
        <is>
          <t>Viruses</t>
        </is>
      </c>
      <c r="I145" s="8" t="inlineStr">
        <is>
          <t>Virus</t>
        </is>
      </c>
      <c r="J145" s="8" t="inlineStr">
        <is>
          <t>yes</t>
        </is>
      </c>
      <c r="K145" s="8" t="inlineStr">
        <is>
          <t>Megaviricetes</t>
        </is>
      </c>
      <c r="L145" s="8" t="inlineStr">
        <is>
          <t>Imitervirales</t>
        </is>
      </c>
      <c r="M145" s="8" t="inlineStr">
        <is>
          <t>Mimiviridae</t>
        </is>
      </c>
      <c r="N145" s="8" t="inlineStr">
        <is>
          <t>Bodo saltans virus</t>
        </is>
      </c>
      <c r="O145" s="8" t="n"/>
      <c r="P145" s="8" t="n">
        <v>1986019</v>
      </c>
      <c r="Q145" s="8" t="n"/>
      <c r="R145" s="8" t="n">
        <v>5363.14</v>
      </c>
      <c r="S145" s="8" t="n"/>
      <c r="T145" s="8" t="n"/>
      <c r="U145" s="8" t="n"/>
      <c r="V145" s="8" t="n"/>
      <c r="W145" s="8" t="inlineStr">
        <is>
          <t>ncbi-phylum-2026-08-04-v1</t>
        </is>
      </c>
      <c r="X145" s="8" t="inlineStr">
        <is>
          <t>submitted table</t>
        </is>
      </c>
      <c r="Y145" s="8" t="inlineStr">
        <is>
          <t>no</t>
        </is>
      </c>
    </row>
    <row r="146">
      <c r="A146" s="8" t="inlineStr">
        <is>
          <t>CroVPOS.mzML</t>
        </is>
      </c>
      <c r="B146" s="8" t="inlineStr">
        <is>
          <t>CROVPOS</t>
        </is>
      </c>
      <c r="C146" s="8" t="inlineStr">
        <is>
          <t>batch_06_ALL-25-2</t>
        </is>
      </c>
      <c r="D146" s="8" t="n"/>
      <c r="E146" s="9" t="n"/>
      <c r="F146" s="8" t="n"/>
      <c r="G146" s="8" t="inlineStr">
        <is>
          <t>descriptive_only</t>
        </is>
      </c>
      <c r="H146" s="8" t="inlineStr">
        <is>
          <t>Viruses</t>
        </is>
      </c>
      <c r="I146" s="8" t="inlineStr">
        <is>
          <t>Virus</t>
        </is>
      </c>
      <c r="J146" s="8" t="inlineStr">
        <is>
          <t>yes</t>
        </is>
      </c>
      <c r="K146" s="8" t="inlineStr">
        <is>
          <t>Megaviricetes</t>
        </is>
      </c>
      <c r="L146" s="8" t="inlineStr">
        <is>
          <t>Imitervirales</t>
        </is>
      </c>
      <c r="M146" s="8" t="inlineStr">
        <is>
          <t>Mimiviridae</t>
        </is>
      </c>
      <c r="N146" s="8" t="inlineStr">
        <is>
          <t>Cafeteria roenbergensis virus</t>
        </is>
      </c>
      <c r="O146" s="8" t="n"/>
      <c r="P146" s="8" t="n">
        <v>693272</v>
      </c>
      <c r="Q146" s="8" t="n"/>
      <c r="R146" s="8" t="n">
        <v>5403.02</v>
      </c>
      <c r="S146" s="8" t="n"/>
      <c r="T146" s="8" t="n"/>
      <c r="U146" s="8" t="n"/>
      <c r="V146" s="8" t="n"/>
      <c r="W146" s="8" t="inlineStr">
        <is>
          <t>ncbi-phylum-2026-08-04-v1</t>
        </is>
      </c>
      <c r="X146" s="8" t="inlineStr">
        <is>
          <t>submitted table</t>
        </is>
      </c>
      <c r="Y146" s="8" t="inlineStr">
        <is>
          <t>no</t>
        </is>
      </c>
    </row>
    <row r="147">
      <c r="A147" s="8" t="inlineStr">
        <is>
          <t>P-ALGOPOS.mzML</t>
        </is>
      </c>
      <c r="B147" s="8" t="inlineStr">
        <is>
          <t>P-ALGOPOS</t>
        </is>
      </c>
      <c r="C147" s="8" t="inlineStr">
        <is>
          <t>batch_06_ALL-25-2</t>
        </is>
      </c>
      <c r="D147" s="8" t="inlineStr">
        <is>
          <t>Bacteria</t>
        </is>
      </c>
      <c r="E147" s="8" t="inlineStr">
        <is>
          <t>Bacillota</t>
        </is>
      </c>
      <c r="F147" s="8" t="n">
        <v>1239</v>
      </c>
      <c r="G147" s="8" t="inlineStr">
        <is>
          <t>core_candidate</t>
        </is>
      </c>
      <c r="H147" s="8" t="inlineStr">
        <is>
          <t>Bacteria</t>
        </is>
      </c>
      <c r="I147" s="8" t="inlineStr">
        <is>
          <t>Bacillota</t>
        </is>
      </c>
      <c r="J147" s="8" t="n"/>
      <c r="K147" s="8" t="inlineStr">
        <is>
          <t>Bacilli</t>
        </is>
      </c>
      <c r="L147" s="8" t="inlineStr">
        <is>
          <t>Bacillales</t>
        </is>
      </c>
      <c r="M147" s="8" t="inlineStr">
        <is>
          <t>Paenibacillaceae</t>
        </is>
      </c>
      <c r="N147" s="8" t="inlineStr">
        <is>
          <t>Paenibacillus</t>
        </is>
      </c>
      <c r="O147" s="8" t="inlineStr">
        <is>
          <t>Paenibacillus alginolyticus</t>
        </is>
      </c>
      <c r="P147" s="8" t="n">
        <v>82977</v>
      </c>
      <c r="Q147" s="8" t="inlineStr">
        <is>
          <t>ppy</t>
        </is>
      </c>
      <c r="R147" s="8" t="n"/>
      <c r="S147" s="8" t="inlineStr">
        <is>
          <t>1</t>
        </is>
      </c>
      <c r="T147" s="8" t="n">
        <v>30</v>
      </c>
      <c r="U147" s="8" t="inlineStr">
        <is>
          <t>aerobic</t>
        </is>
      </c>
      <c r="V147" s="8" t="n">
        <v>7</v>
      </c>
      <c r="W147" s="8" t="inlineStr">
        <is>
          <t>ncbi-phylum-2026-08-04-v1</t>
        </is>
      </c>
      <c r="X147" s="8" t="inlineStr">
        <is>
          <t>submitted table</t>
        </is>
      </c>
      <c r="Y147" s="8" t="inlineStr">
        <is>
          <t>yes</t>
        </is>
      </c>
    </row>
    <row r="148">
      <c r="A148" s="8" t="inlineStr">
        <is>
          <t>P12075-1POS.mzML</t>
        </is>
      </c>
      <c r="B148" s="8" t="inlineStr">
        <is>
          <t>P12075-1POS</t>
        </is>
      </c>
      <c r="C148" s="8" t="inlineStr">
        <is>
          <t>batch_06_ALL-25-2</t>
        </is>
      </c>
      <c r="D148" s="8" t="inlineStr">
        <is>
          <t>Bacteria</t>
        </is>
      </c>
      <c r="E148" s="8" t="inlineStr">
        <is>
          <t>Bacillota</t>
        </is>
      </c>
      <c r="F148" s="8" t="n">
        <v>1239</v>
      </c>
      <c r="G148" s="8" t="inlineStr">
        <is>
          <t>core_candidate</t>
        </is>
      </c>
      <c r="H148" s="8" t="inlineStr">
        <is>
          <t>Bacteria</t>
        </is>
      </c>
      <c r="I148" s="8" t="inlineStr">
        <is>
          <t>Bacillota</t>
        </is>
      </c>
      <c r="J148" s="8" t="n"/>
      <c r="K148" s="8" t="inlineStr">
        <is>
          <t>Bacilli</t>
        </is>
      </c>
      <c r="L148" s="8" t="inlineStr">
        <is>
          <t>Caryophanales</t>
        </is>
      </c>
      <c r="M148" s="8" t="inlineStr">
        <is>
          <t>Planococcaceae</t>
        </is>
      </c>
      <c r="N148" s="8" t="inlineStr">
        <is>
          <t>Sporosarcina/Planococcus sp.nov</t>
        </is>
      </c>
      <c r="O148" s="8" t="n"/>
      <c r="P148" s="8" t="n">
        <v>1569</v>
      </c>
      <c r="Q148" s="8" t="n"/>
      <c r="R148" s="8" t="n">
        <v>5414.8</v>
      </c>
      <c r="S148" s="8" t="n"/>
      <c r="T148" s="8" t="n"/>
      <c r="U148" s="8" t="n"/>
      <c r="V148" s="8" t="n"/>
      <c r="W148" s="8" t="inlineStr">
        <is>
          <t>ncbi-phylum-2026-08-04-v1</t>
        </is>
      </c>
      <c r="X148" s="8" t="inlineStr">
        <is>
          <t>submitted table</t>
        </is>
      </c>
      <c r="Y148" s="8" t="inlineStr">
        <is>
          <t>yes</t>
        </is>
      </c>
    </row>
    <row r="149">
      <c r="A149" s="8" t="inlineStr">
        <is>
          <t>P12075-2POS.mzML</t>
        </is>
      </c>
      <c r="B149" s="8" t="inlineStr">
        <is>
          <t>P12075-2POS</t>
        </is>
      </c>
      <c r="C149" s="8" t="inlineStr">
        <is>
          <t>batch_06_ALL-25-2</t>
        </is>
      </c>
      <c r="D149" s="8" t="inlineStr">
        <is>
          <t>Bacteria</t>
        </is>
      </c>
      <c r="E149" s="8" t="inlineStr">
        <is>
          <t>Bacillota</t>
        </is>
      </c>
      <c r="F149" s="8" t="n">
        <v>1239</v>
      </c>
      <c r="G149" s="8" t="inlineStr">
        <is>
          <t>core_candidate</t>
        </is>
      </c>
      <c r="H149" s="8" t="inlineStr">
        <is>
          <t>Bacteria</t>
        </is>
      </c>
      <c r="I149" s="8" t="inlineStr">
        <is>
          <t>Bacillota</t>
        </is>
      </c>
      <c r="J149" s="8" t="n"/>
      <c r="K149" s="8" t="inlineStr">
        <is>
          <t>Bacilli</t>
        </is>
      </c>
      <c r="L149" s="8" t="inlineStr">
        <is>
          <t>Caryophanales</t>
        </is>
      </c>
      <c r="M149" s="8" t="inlineStr">
        <is>
          <t>Planococcaceae</t>
        </is>
      </c>
      <c r="N149" s="8" t="inlineStr">
        <is>
          <t>Sporosarcina/Planococcus sp.nov</t>
        </is>
      </c>
      <c r="O149" s="8" t="n"/>
      <c r="P149" s="8" t="n">
        <v>1569</v>
      </c>
      <c r="Q149" s="8" t="n"/>
      <c r="R149" s="8" t="n">
        <v>5346.4</v>
      </c>
      <c r="S149" s="8" t="n"/>
      <c r="T149" s="8" t="n"/>
      <c r="U149" s="8" t="n"/>
      <c r="V149" s="8" t="n"/>
      <c r="W149" s="8" t="inlineStr">
        <is>
          <t>ncbi-phylum-2026-08-04-v1</t>
        </is>
      </c>
      <c r="X149" s="8" t="inlineStr">
        <is>
          <t>submitted table</t>
        </is>
      </c>
      <c r="Y149" s="8" t="inlineStr">
        <is>
          <t>yes</t>
        </is>
      </c>
    </row>
    <row r="150">
      <c r="A150" s="8" t="inlineStr">
        <is>
          <t>P12075-3POS.mzML</t>
        </is>
      </c>
      <c r="B150" s="8" t="inlineStr">
        <is>
          <t>P12075-3POS</t>
        </is>
      </c>
      <c r="C150" s="8" t="inlineStr">
        <is>
          <t>batch_06_ALL-25-2</t>
        </is>
      </c>
      <c r="D150" s="8" t="inlineStr">
        <is>
          <t>Bacteria</t>
        </is>
      </c>
      <c r="E150" s="8" t="inlineStr">
        <is>
          <t>Bacillota</t>
        </is>
      </c>
      <c r="F150" s="8" t="n">
        <v>1239</v>
      </c>
      <c r="G150" s="8" t="inlineStr">
        <is>
          <t>core_candidate</t>
        </is>
      </c>
      <c r="H150" s="8" t="inlineStr">
        <is>
          <t>Bacteria</t>
        </is>
      </c>
      <c r="I150" s="8" t="inlineStr">
        <is>
          <t>Bacillota</t>
        </is>
      </c>
      <c r="J150" s="8" t="n"/>
      <c r="K150" s="8" t="inlineStr">
        <is>
          <t>Bacilli</t>
        </is>
      </c>
      <c r="L150" s="8" t="inlineStr">
        <is>
          <t>Caryophanales</t>
        </is>
      </c>
      <c r="M150" s="8" t="inlineStr">
        <is>
          <t>Planococcaceae</t>
        </is>
      </c>
      <c r="N150" s="8" t="inlineStr">
        <is>
          <t>Sporosarcina/Planococcus sp.nov</t>
        </is>
      </c>
      <c r="O150" s="8" t="n"/>
      <c r="P150" s="8" t="n">
        <v>1569</v>
      </c>
      <c r="Q150" s="8" t="n"/>
      <c r="R150" s="8" t="n">
        <v>5177.98</v>
      </c>
      <c r="S150" s="8" t="n"/>
      <c r="T150" s="8" t="n"/>
      <c r="U150" s="8" t="n"/>
      <c r="V150" s="8" t="n"/>
      <c r="W150" s="8" t="inlineStr">
        <is>
          <t>ncbi-phylum-2026-08-04-v1</t>
        </is>
      </c>
      <c r="X150" s="8" t="inlineStr">
        <is>
          <t>submitted table</t>
        </is>
      </c>
      <c r="Y150" s="8" t="inlineStr">
        <is>
          <t>yes</t>
        </is>
      </c>
    </row>
    <row r="151">
      <c r="A151" s="8" t="inlineStr">
        <is>
          <t>P12075-4POS.mzML</t>
        </is>
      </c>
      <c r="B151" s="8" t="inlineStr">
        <is>
          <t>P12075-4POS</t>
        </is>
      </c>
      <c r="C151" s="8" t="inlineStr">
        <is>
          <t>batch_06_ALL-25-2</t>
        </is>
      </c>
      <c r="D151" s="8" t="inlineStr">
        <is>
          <t>Bacteria</t>
        </is>
      </c>
      <c r="E151" s="8" t="inlineStr">
        <is>
          <t>Bacillota</t>
        </is>
      </c>
      <c r="F151" s="8" t="n">
        <v>1239</v>
      </c>
      <c r="G151" s="8" t="inlineStr">
        <is>
          <t>core_candidate</t>
        </is>
      </c>
      <c r="H151" s="8" t="inlineStr">
        <is>
          <t>Bacteria</t>
        </is>
      </c>
      <c r="I151" s="8" t="inlineStr">
        <is>
          <t>Bacillota</t>
        </is>
      </c>
      <c r="J151" s="8" t="n"/>
      <c r="K151" s="8" t="inlineStr">
        <is>
          <t>Bacilli</t>
        </is>
      </c>
      <c r="L151" s="8" t="inlineStr">
        <is>
          <t>Caryophanales</t>
        </is>
      </c>
      <c r="M151" s="8" t="inlineStr">
        <is>
          <t>Planococcaceae</t>
        </is>
      </c>
      <c r="N151" s="8" t="inlineStr">
        <is>
          <t>Sporosarcina/Planococcus sp.nov</t>
        </is>
      </c>
      <c r="O151" s="8" t="n"/>
      <c r="P151" s="8" t="n">
        <v>1569</v>
      </c>
      <c r="Q151" s="8" t="n"/>
      <c r="R151" s="8" t="n">
        <v>5577.09</v>
      </c>
      <c r="S151" s="8" t="n"/>
      <c r="T151" s="8" t="n"/>
      <c r="U151" s="8" t="n"/>
      <c r="V151" s="8" t="n"/>
      <c r="W151" s="8" t="inlineStr">
        <is>
          <t>ncbi-phylum-2026-08-04-v1</t>
        </is>
      </c>
      <c r="X151" s="8" t="inlineStr">
        <is>
          <t>submitted table</t>
        </is>
      </c>
      <c r="Y151" s="8" t="inlineStr">
        <is>
          <t>yes</t>
        </is>
      </c>
    </row>
    <row r="152">
      <c r="A152" s="8" t="inlineStr">
        <is>
          <t>P12082POS.mzML</t>
        </is>
      </c>
      <c r="B152" s="8" t="inlineStr">
        <is>
          <t>P12082POS</t>
        </is>
      </c>
      <c r="C152" s="8" t="inlineStr">
        <is>
          <t>batch_06_ALL-25-2</t>
        </is>
      </c>
      <c r="D152" s="8" t="inlineStr">
        <is>
          <t>Bacteria</t>
        </is>
      </c>
      <c r="E152" s="8" t="inlineStr">
        <is>
          <t>Bacillota</t>
        </is>
      </c>
      <c r="F152" s="8" t="n">
        <v>1239</v>
      </c>
      <c r="G152" s="8" t="inlineStr">
        <is>
          <t>core_candidate</t>
        </is>
      </c>
      <c r="H152" s="8" t="inlineStr">
        <is>
          <t>Bacteria</t>
        </is>
      </c>
      <c r="I152" s="8" t="inlineStr">
        <is>
          <t>Bacillota</t>
        </is>
      </c>
      <c r="J152" s="8" t="n"/>
      <c r="K152" s="8" t="inlineStr">
        <is>
          <t>Bacilli</t>
        </is>
      </c>
      <c r="L152" s="8" t="inlineStr">
        <is>
          <t>Caryophanales</t>
        </is>
      </c>
      <c r="M152" s="8" t="inlineStr">
        <is>
          <t>Planococcaceae</t>
        </is>
      </c>
      <c r="N152" s="8" t="inlineStr">
        <is>
          <t>Sporosarcina/Planococcus sp.nov</t>
        </is>
      </c>
      <c r="O152" s="8" t="n"/>
      <c r="P152" s="8" t="n">
        <v>1569</v>
      </c>
      <c r="Q152" s="8" t="n"/>
      <c r="R152" s="8" t="n">
        <v>5410.84</v>
      </c>
      <c r="S152" s="8" t="n"/>
      <c r="T152" s="8" t="n"/>
      <c r="U152" s="8" t="n"/>
      <c r="V152" s="8" t="n"/>
      <c r="W152" s="8" t="inlineStr">
        <is>
          <t>ncbi-phylum-2026-08-04-v1</t>
        </is>
      </c>
      <c r="X152" s="8" t="inlineStr">
        <is>
          <t>submitted table</t>
        </is>
      </c>
      <c r="Y152" s="8" t="inlineStr">
        <is>
          <t>yes</t>
        </is>
      </c>
    </row>
    <row r="153">
      <c r="A153" s="8" t="inlineStr">
        <is>
          <t>P12103-FTPOS.mzML</t>
        </is>
      </c>
      <c r="B153" s="8" t="inlineStr">
        <is>
          <t>P12103-FTPOS</t>
        </is>
      </c>
      <c r="C153" s="8" t="inlineStr">
        <is>
          <t>batch_06_ALL-25-2</t>
        </is>
      </c>
      <c r="D153" s="8" t="inlineStr">
        <is>
          <t>Bacteria</t>
        </is>
      </c>
      <c r="E153" s="8" t="inlineStr">
        <is>
          <t>Bacillota</t>
        </is>
      </c>
      <c r="F153" s="8" t="n">
        <v>1239</v>
      </c>
      <c r="G153" s="8" t="inlineStr">
        <is>
          <t>core_candidate</t>
        </is>
      </c>
      <c r="H153" s="8" t="inlineStr">
        <is>
          <t>Bacteria</t>
        </is>
      </c>
      <c r="I153" s="8" t="inlineStr">
        <is>
          <t>Bacillota</t>
        </is>
      </c>
      <c r="J153" s="8" t="n"/>
      <c r="K153" s="8" t="inlineStr">
        <is>
          <t>Bacilli</t>
        </is>
      </c>
      <c r="L153" s="8" t="inlineStr">
        <is>
          <t>Caryophanales</t>
        </is>
      </c>
      <c r="M153" s="8" t="inlineStr">
        <is>
          <t>Planococcaceae</t>
        </is>
      </c>
      <c r="N153" s="8" t="inlineStr">
        <is>
          <t>Paenisporosarcina sp. nov</t>
        </is>
      </c>
      <c r="O153" s="8" t="n"/>
      <c r="P153" s="8" t="n">
        <v>651660</v>
      </c>
      <c r="Q153" s="8" t="n"/>
      <c r="R153" s="8" t="n">
        <v>5306.66</v>
      </c>
      <c r="S153" s="8" t="n"/>
      <c r="T153" s="8" t="n"/>
      <c r="U153" s="8" t="n"/>
      <c r="V153" s="8" t="n"/>
      <c r="W153" s="8" t="inlineStr">
        <is>
          <t>ncbi-phylum-2026-08-04-v1</t>
        </is>
      </c>
      <c r="X153" s="8" t="inlineStr">
        <is>
          <t>submitted table</t>
        </is>
      </c>
      <c r="Y153" s="8" t="inlineStr">
        <is>
          <t>yes</t>
        </is>
      </c>
    </row>
    <row r="154">
      <c r="A154" s="8" t="inlineStr">
        <is>
          <t>P12233-2POS.mzML</t>
        </is>
      </c>
      <c r="B154" s="8" t="inlineStr">
        <is>
          <t>P12233-2POS</t>
        </is>
      </c>
      <c r="C154" s="8" t="inlineStr">
        <is>
          <t>batch_06_ALL-25-2</t>
        </is>
      </c>
      <c r="D154" s="8" t="inlineStr">
        <is>
          <t>Bacteria</t>
        </is>
      </c>
      <c r="E154" s="8" t="inlineStr">
        <is>
          <t>Bacillota</t>
        </is>
      </c>
      <c r="F154" s="8" t="n">
        <v>1239</v>
      </c>
      <c r="G154" s="8" t="inlineStr">
        <is>
          <t>core_candidate</t>
        </is>
      </c>
      <c r="H154" s="8" t="inlineStr">
        <is>
          <t>Bacteria</t>
        </is>
      </c>
      <c r="I154" s="8" t="inlineStr">
        <is>
          <t>Bacillota</t>
        </is>
      </c>
      <c r="J154" s="8" t="n"/>
      <c r="K154" s="8" t="inlineStr">
        <is>
          <t>Bacilli</t>
        </is>
      </c>
      <c r="L154" s="8" t="inlineStr">
        <is>
          <t>Caryophanales</t>
        </is>
      </c>
      <c r="M154" s="8" t="inlineStr">
        <is>
          <t>Planococcaceae</t>
        </is>
      </c>
      <c r="N154" s="8" t="inlineStr">
        <is>
          <t>Paenisporosarcina sp. nov</t>
        </is>
      </c>
      <c r="O154" s="8" t="n"/>
      <c r="P154" s="8" t="n">
        <v>651660</v>
      </c>
      <c r="Q154" s="8" t="n"/>
      <c r="R154" s="8" t="n">
        <v>5424.21</v>
      </c>
      <c r="S154" s="8" t="n"/>
      <c r="T154" s="8" t="n"/>
      <c r="U154" s="8" t="n"/>
      <c r="V154" s="8" t="n"/>
      <c r="W154" s="8" t="inlineStr">
        <is>
          <t>ncbi-phylum-2026-08-04-v1</t>
        </is>
      </c>
      <c r="X154" s="8" t="inlineStr">
        <is>
          <t>submitted table</t>
        </is>
      </c>
      <c r="Y154" s="8" t="inlineStr">
        <is>
          <t>yes</t>
        </is>
      </c>
    </row>
    <row r="155">
      <c r="A155" s="8" t="inlineStr">
        <is>
          <t>P12233-3POS.mzML</t>
        </is>
      </c>
      <c r="B155" s="8" t="inlineStr">
        <is>
          <t>P12233-3POS</t>
        </is>
      </c>
      <c r="C155" s="8" t="inlineStr">
        <is>
          <t>batch_06_ALL-25-2</t>
        </is>
      </c>
      <c r="D155" s="8" t="inlineStr">
        <is>
          <t>Bacteria</t>
        </is>
      </c>
      <c r="E155" s="8" t="inlineStr">
        <is>
          <t>Bacillota</t>
        </is>
      </c>
      <c r="F155" s="8" t="n">
        <v>1239</v>
      </c>
      <c r="G155" s="8" t="inlineStr">
        <is>
          <t>core_candidate</t>
        </is>
      </c>
      <c r="H155" s="8" t="inlineStr">
        <is>
          <t>Bacteria</t>
        </is>
      </c>
      <c r="I155" s="8" t="inlineStr">
        <is>
          <t>Bacillota</t>
        </is>
      </c>
      <c r="J155" s="8" t="n"/>
      <c r="K155" s="8" t="inlineStr">
        <is>
          <t>Bacilli</t>
        </is>
      </c>
      <c r="L155" s="8" t="inlineStr">
        <is>
          <t>Caryophanales</t>
        </is>
      </c>
      <c r="M155" s="8" t="inlineStr">
        <is>
          <t>Planococcaceae</t>
        </is>
      </c>
      <c r="N155" s="8" t="inlineStr">
        <is>
          <t>Paenisporosarcina sp. nov</t>
        </is>
      </c>
      <c r="O155" s="8" t="n"/>
      <c r="P155" s="8" t="n">
        <v>651660</v>
      </c>
      <c r="Q155" s="8" t="n"/>
      <c r="R155" s="8" t="n">
        <v>5402.44</v>
      </c>
      <c r="S155" s="8" t="n"/>
      <c r="T155" s="8" t="n"/>
      <c r="U155" s="8" t="n"/>
      <c r="V155" s="8" t="n"/>
      <c r="W155" s="8" t="inlineStr">
        <is>
          <t>ncbi-phylum-2026-08-04-v1</t>
        </is>
      </c>
      <c r="X155" s="8" t="inlineStr">
        <is>
          <t>submitted table</t>
        </is>
      </c>
      <c r="Y155" s="8" t="inlineStr">
        <is>
          <t>yes</t>
        </is>
      </c>
    </row>
    <row r="156">
      <c r="A156" s="8" t="inlineStr">
        <is>
          <t>P12233-4POS.mzML</t>
        </is>
      </c>
      <c r="B156" s="8" t="inlineStr">
        <is>
          <t>P12233-4POS</t>
        </is>
      </c>
      <c r="C156" s="8" t="inlineStr">
        <is>
          <t>batch_06_ALL-25-2</t>
        </is>
      </c>
      <c r="D156" s="8" t="inlineStr">
        <is>
          <t>Bacteria</t>
        </is>
      </c>
      <c r="E156" s="8" t="inlineStr">
        <is>
          <t>Bacillota</t>
        </is>
      </c>
      <c r="F156" s="8" t="n">
        <v>1239</v>
      </c>
      <c r="G156" s="8" t="inlineStr">
        <is>
          <t>core_candidate</t>
        </is>
      </c>
      <c r="H156" s="8" t="inlineStr">
        <is>
          <t>Bacteria</t>
        </is>
      </c>
      <c r="I156" s="8" t="inlineStr">
        <is>
          <t>Bacillota</t>
        </is>
      </c>
      <c r="J156" s="8" t="n"/>
      <c r="K156" s="8" t="inlineStr">
        <is>
          <t>Bacilli</t>
        </is>
      </c>
      <c r="L156" s="8" t="inlineStr">
        <is>
          <t>Caryophanales</t>
        </is>
      </c>
      <c r="M156" s="8" t="inlineStr">
        <is>
          <t>Planococcaceae</t>
        </is>
      </c>
      <c r="N156" s="8" t="inlineStr">
        <is>
          <t>Paenisporosarcina sp. nov</t>
        </is>
      </c>
      <c r="O156" s="8" t="n"/>
      <c r="P156" s="8" t="n">
        <v>651660</v>
      </c>
      <c r="Q156" s="8" t="n"/>
      <c r="R156" s="8" t="n">
        <v>5456.35</v>
      </c>
      <c r="S156" s="8" t="n"/>
      <c r="T156" s="8" t="n"/>
      <c r="U156" s="8" t="n"/>
      <c r="V156" s="8" t="n"/>
      <c r="W156" s="8" t="inlineStr">
        <is>
          <t>ncbi-phylum-2026-08-04-v1</t>
        </is>
      </c>
      <c r="X156" s="8" t="inlineStr">
        <is>
          <t>submitted table</t>
        </is>
      </c>
      <c r="Y156" s="8" t="inlineStr">
        <is>
          <t>yes</t>
        </is>
      </c>
    </row>
    <row r="157">
      <c r="A157" s="8" t="inlineStr">
        <is>
          <t>P12265-1POS.mzML</t>
        </is>
      </c>
      <c r="B157" s="8" t="inlineStr">
        <is>
          <t>P12265-1POS</t>
        </is>
      </c>
      <c r="C157" s="8" t="inlineStr">
        <is>
          <t>batch_06_ALL-25-2</t>
        </is>
      </c>
      <c r="D157" s="8" t="inlineStr">
        <is>
          <t>Bacteria</t>
        </is>
      </c>
      <c r="E157" s="8" t="inlineStr">
        <is>
          <t>Bacillota</t>
        </is>
      </c>
      <c r="F157" s="8" t="n">
        <v>1239</v>
      </c>
      <c r="G157" s="8" t="inlineStr">
        <is>
          <t>core_candidate</t>
        </is>
      </c>
      <c r="H157" s="8" t="inlineStr">
        <is>
          <t>Bacteria</t>
        </is>
      </c>
      <c r="I157" s="8" t="inlineStr">
        <is>
          <t>Bacillota</t>
        </is>
      </c>
      <c r="J157" s="8" t="n"/>
      <c r="K157" s="8" t="inlineStr">
        <is>
          <t>Bacilli</t>
        </is>
      </c>
      <c r="L157" s="8" t="inlineStr">
        <is>
          <t>Caryophanales</t>
        </is>
      </c>
      <c r="M157" s="8" t="inlineStr">
        <is>
          <t>Planococcaceae</t>
        </is>
      </c>
      <c r="N157" s="8" t="inlineStr">
        <is>
          <t>Sporosarcina/Planococcus sp.nov</t>
        </is>
      </c>
      <c r="O157" s="8" t="n"/>
      <c r="P157" s="8" t="n">
        <v>1569</v>
      </c>
      <c r="Q157" s="8" t="n"/>
      <c r="R157" s="8" t="n">
        <v>5085.77</v>
      </c>
      <c r="S157" s="8" t="n"/>
      <c r="T157" s="8" t="n"/>
      <c r="U157" s="8" t="n"/>
      <c r="V157" s="8" t="n"/>
      <c r="W157" s="8" t="inlineStr">
        <is>
          <t>ncbi-phylum-2026-08-04-v1</t>
        </is>
      </c>
      <c r="X157" s="8" t="inlineStr">
        <is>
          <t>submitted table</t>
        </is>
      </c>
      <c r="Y157" s="8" t="inlineStr">
        <is>
          <t>yes</t>
        </is>
      </c>
    </row>
    <row r="158">
      <c r="A158" s="8" t="inlineStr">
        <is>
          <t>P12265-2POS.mzML</t>
        </is>
      </c>
      <c r="B158" s="8" t="inlineStr">
        <is>
          <t>P12265-2POS</t>
        </is>
      </c>
      <c r="C158" s="8" t="inlineStr">
        <is>
          <t>batch_06_ALL-25-2</t>
        </is>
      </c>
      <c r="D158" s="8" t="inlineStr">
        <is>
          <t>Bacteria</t>
        </is>
      </c>
      <c r="E158" s="8" t="inlineStr">
        <is>
          <t>Bacillota</t>
        </is>
      </c>
      <c r="F158" s="8" t="n">
        <v>1239</v>
      </c>
      <c r="G158" s="8" t="inlineStr">
        <is>
          <t>core_candidate</t>
        </is>
      </c>
      <c r="H158" s="8" t="inlineStr">
        <is>
          <t>Bacteria</t>
        </is>
      </c>
      <c r="I158" s="8" t="inlineStr">
        <is>
          <t>Bacillota</t>
        </is>
      </c>
      <c r="J158" s="8" t="n"/>
      <c r="K158" s="8" t="inlineStr">
        <is>
          <t>Bacilli</t>
        </is>
      </c>
      <c r="L158" s="8" t="inlineStr">
        <is>
          <t>Caryophanales</t>
        </is>
      </c>
      <c r="M158" s="8" t="inlineStr">
        <is>
          <t>Planococcaceae</t>
        </is>
      </c>
      <c r="N158" s="8" t="inlineStr">
        <is>
          <t>Sporosarcina/Planococcus sp.nov</t>
        </is>
      </c>
      <c r="O158" s="8" t="n"/>
      <c r="P158" s="8" t="n">
        <v>1569</v>
      </c>
      <c r="Q158" s="8" t="n"/>
      <c r="R158" s="8" t="n">
        <v>5059.01</v>
      </c>
      <c r="S158" s="8" t="n"/>
      <c r="T158" s="8" t="n"/>
      <c r="U158" s="8" t="n"/>
      <c r="V158" s="8" t="n"/>
      <c r="W158" s="8" t="inlineStr">
        <is>
          <t>ncbi-phylum-2026-08-04-v1</t>
        </is>
      </c>
      <c r="X158" s="8" t="inlineStr">
        <is>
          <t>submitted table</t>
        </is>
      </c>
      <c r="Y158" s="8" t="inlineStr">
        <is>
          <t>yes</t>
        </is>
      </c>
    </row>
    <row r="159">
      <c r="A159" s="8" t="inlineStr">
        <is>
          <t>P12265-3POS.mzML</t>
        </is>
      </c>
      <c r="B159" s="8" t="inlineStr">
        <is>
          <t>P12265-3POS</t>
        </is>
      </c>
      <c r="C159" s="8" t="inlineStr">
        <is>
          <t>batch_06_ALL-25-2</t>
        </is>
      </c>
      <c r="D159" s="8" t="inlineStr">
        <is>
          <t>Bacteria</t>
        </is>
      </c>
      <c r="E159" s="8" t="inlineStr">
        <is>
          <t>Bacillota</t>
        </is>
      </c>
      <c r="F159" s="8" t="n">
        <v>1239</v>
      </c>
      <c r="G159" s="8" t="inlineStr">
        <is>
          <t>core_candidate</t>
        </is>
      </c>
      <c r="H159" s="8" t="inlineStr">
        <is>
          <t>Bacteria</t>
        </is>
      </c>
      <c r="I159" s="8" t="inlineStr">
        <is>
          <t>Bacillota</t>
        </is>
      </c>
      <c r="J159" s="8" t="n"/>
      <c r="K159" s="8" t="inlineStr">
        <is>
          <t>Bacilli</t>
        </is>
      </c>
      <c r="L159" s="8" t="inlineStr">
        <is>
          <t>Caryophanales</t>
        </is>
      </c>
      <c r="M159" s="8" t="inlineStr">
        <is>
          <t>Planococcaceae</t>
        </is>
      </c>
      <c r="N159" s="8" t="inlineStr">
        <is>
          <t>Sporosarcina/Planococcus sp.nov</t>
        </is>
      </c>
      <c r="O159" s="8" t="n"/>
      <c r="P159" s="8" t="n">
        <v>1569</v>
      </c>
      <c r="Q159" s="8" t="n"/>
      <c r="R159" s="8" t="n">
        <v>5294.75</v>
      </c>
      <c r="S159" s="8" t="n"/>
      <c r="T159" s="8" t="n"/>
      <c r="U159" s="8" t="n"/>
      <c r="V159" s="8" t="n"/>
      <c r="W159" s="8" t="inlineStr">
        <is>
          <t>ncbi-phylum-2026-08-04-v1</t>
        </is>
      </c>
      <c r="X159" s="8" t="inlineStr">
        <is>
          <t>submitted table</t>
        </is>
      </c>
      <c r="Y159" s="8" t="inlineStr">
        <is>
          <t>yes</t>
        </is>
      </c>
    </row>
    <row r="160">
      <c r="A160" s="8" t="inlineStr">
        <is>
          <t>P12265-4POS.mzML</t>
        </is>
      </c>
      <c r="B160" s="8" t="inlineStr">
        <is>
          <t>P12265-4POS</t>
        </is>
      </c>
      <c r="C160" s="8" t="inlineStr">
        <is>
          <t>batch_06_ALL-25-2</t>
        </is>
      </c>
      <c r="D160" s="8" t="inlineStr">
        <is>
          <t>Bacteria</t>
        </is>
      </c>
      <c r="E160" s="8" t="inlineStr">
        <is>
          <t>Bacillota</t>
        </is>
      </c>
      <c r="F160" s="8" t="n">
        <v>1239</v>
      </c>
      <c r="G160" s="8" t="inlineStr">
        <is>
          <t>core_candidate</t>
        </is>
      </c>
      <c r="H160" s="8" t="inlineStr">
        <is>
          <t>Bacteria</t>
        </is>
      </c>
      <c r="I160" s="8" t="inlineStr">
        <is>
          <t>Bacillota</t>
        </is>
      </c>
      <c r="J160" s="8" t="n"/>
      <c r="K160" s="8" t="inlineStr">
        <is>
          <t>Bacilli</t>
        </is>
      </c>
      <c r="L160" s="8" t="inlineStr">
        <is>
          <t>Caryophanales</t>
        </is>
      </c>
      <c r="M160" s="8" t="inlineStr">
        <is>
          <t>Planococcaceae</t>
        </is>
      </c>
      <c r="N160" s="8" t="inlineStr">
        <is>
          <t>Sporosarcina/Planococcus sp.nov</t>
        </is>
      </c>
      <c r="O160" s="8" t="n"/>
      <c r="P160" s="8" t="n">
        <v>1569</v>
      </c>
      <c r="Q160" s="8" t="n"/>
      <c r="R160" s="8" t="n">
        <v>5394.25</v>
      </c>
      <c r="S160" s="8" t="n"/>
      <c r="T160" s="8" t="n"/>
      <c r="U160" s="8" t="n"/>
      <c r="V160" s="8" t="n"/>
      <c r="W160" s="8" t="inlineStr">
        <is>
          <t>ncbi-phylum-2026-08-04-v1</t>
        </is>
      </c>
      <c r="X160" s="8" t="inlineStr">
        <is>
          <t>submitted table</t>
        </is>
      </c>
      <c r="Y160" s="8" t="inlineStr">
        <is>
          <t>yes</t>
        </is>
      </c>
    </row>
    <row r="161">
      <c r="A161" s="8" t="inlineStr">
        <is>
          <t>P13602POS.mzML</t>
        </is>
      </c>
      <c r="B161" s="8" t="inlineStr">
        <is>
          <t>P13602POS</t>
        </is>
      </c>
      <c r="C161" s="8" t="inlineStr">
        <is>
          <t>batch_06_ALL-25-2</t>
        </is>
      </c>
      <c r="D161" s="8" t="inlineStr">
        <is>
          <t>Bacteria</t>
        </is>
      </c>
      <c r="E161" s="8" t="inlineStr">
        <is>
          <t>Bacillota</t>
        </is>
      </c>
      <c r="F161" s="8" t="n">
        <v>1239</v>
      </c>
      <c r="G161" s="8" t="inlineStr">
        <is>
          <t>core_candidate</t>
        </is>
      </c>
      <c r="H161" s="8" t="inlineStr">
        <is>
          <t>Bacteria</t>
        </is>
      </c>
      <c r="I161" s="8" t="inlineStr">
        <is>
          <t>Bacillota</t>
        </is>
      </c>
      <c r="J161" s="8" t="n"/>
      <c r="K161" s="8" t="inlineStr">
        <is>
          <t>Bacilli</t>
        </is>
      </c>
      <c r="L161" s="8" t="inlineStr">
        <is>
          <t>Bacillales</t>
        </is>
      </c>
      <c r="M161" s="8" t="inlineStr">
        <is>
          <t>Paenibacillaceae</t>
        </is>
      </c>
      <c r="N161" s="8" t="inlineStr">
        <is>
          <t>Paenibacillus sp. nov.</t>
        </is>
      </c>
      <c r="O161" s="8" t="n"/>
      <c r="P161" s="8" t="n">
        <v>44249</v>
      </c>
      <c r="Q161" s="8" t="inlineStr">
        <is>
          <t>ppy</t>
        </is>
      </c>
      <c r="R161" s="8" t="n">
        <v>5227.1</v>
      </c>
      <c r="S161" s="8" t="n"/>
      <c r="T161" s="8" t="n"/>
      <c r="U161" s="8" t="n"/>
      <c r="V161" s="8" t="n"/>
      <c r="W161" s="8" t="inlineStr">
        <is>
          <t>ncbi-phylum-2026-08-04-v1</t>
        </is>
      </c>
      <c r="X161" s="8" t="inlineStr">
        <is>
          <t>submitted table</t>
        </is>
      </c>
      <c r="Y161" s="8" t="inlineStr">
        <is>
          <t>yes</t>
        </is>
      </c>
    </row>
    <row r="162">
      <c r="A162" s="8" t="inlineStr">
        <is>
          <t>UV120-FIRSTPOS.mzML</t>
        </is>
      </c>
      <c r="B162" s="8" t="inlineStr">
        <is>
          <t>UV120-FIRSTPOS</t>
        </is>
      </c>
      <c r="C162" s="8" t="inlineStr">
        <is>
          <t>batch_06_ALL-25-2</t>
        </is>
      </c>
      <c r="D162" s="8" t="inlineStr">
        <is>
          <t>Bacteria</t>
        </is>
      </c>
      <c r="E162" s="8" t="inlineStr">
        <is>
          <t>Actinomycetota</t>
        </is>
      </c>
      <c r="F162" s="8" t="n">
        <v>201174</v>
      </c>
      <c r="G162" s="8" t="inlineStr">
        <is>
          <t>core_candidate</t>
        </is>
      </c>
      <c r="H162" s="8" t="inlineStr">
        <is>
          <t>Bacteria</t>
        </is>
      </c>
      <c r="I162" s="8" t="inlineStr">
        <is>
          <t>Actinomycetota</t>
        </is>
      </c>
      <c r="J162" s="8" t="n"/>
      <c r="K162" s="8" t="inlineStr">
        <is>
          <t>Actinomycetes</t>
        </is>
      </c>
      <c r="L162" s="8" t="inlineStr">
        <is>
          <t>Propionibacteriales</t>
        </is>
      </c>
      <c r="M162" s="8" t="inlineStr">
        <is>
          <t>Nocardioidaceae</t>
        </is>
      </c>
      <c r="N162" s="8" t="inlineStr">
        <is>
          <t>Nocardioides sp. nov.</t>
        </is>
      </c>
      <c r="O162" s="8" t="n"/>
      <c r="P162" s="8" t="n">
        <v>1839</v>
      </c>
      <c r="Q162" s="8" t="inlineStr">
        <is>
          <t>ndk</t>
        </is>
      </c>
      <c r="R162" s="8" t="n">
        <v>5172.1</v>
      </c>
      <c r="S162" s="8" t="n"/>
      <c r="T162" s="8" t="n"/>
      <c r="U162" s="8" t="n"/>
      <c r="V162" s="8" t="n"/>
      <c r="W162" s="8" t="inlineStr">
        <is>
          <t>ncbi-phylum-2026-08-04-v1</t>
        </is>
      </c>
      <c r="X162" s="8" t="inlineStr">
        <is>
          <t>submitted table</t>
        </is>
      </c>
      <c r="Y162" s="8" t="inlineStr">
        <is>
          <t>yes</t>
        </is>
      </c>
    </row>
    <row r="163">
      <c r="A163" s="8" t="inlineStr">
        <is>
          <t>UV231-1POS.mzML</t>
        </is>
      </c>
      <c r="B163" s="8" t="inlineStr">
        <is>
          <t>UV231-1POS</t>
        </is>
      </c>
      <c r="C163" s="8" t="inlineStr">
        <is>
          <t>batch_06_ALL-25-2</t>
        </is>
      </c>
      <c r="D163" s="8" t="inlineStr">
        <is>
          <t>Bacteria</t>
        </is>
      </c>
      <c r="E163" s="8" t="inlineStr">
        <is>
          <t>Bacillota</t>
        </is>
      </c>
      <c r="F163" s="8" t="n">
        <v>1239</v>
      </c>
      <c r="G163" s="8" t="inlineStr">
        <is>
          <t>core_candidate</t>
        </is>
      </c>
      <c r="H163" s="8" t="inlineStr">
        <is>
          <t>Bacteria</t>
        </is>
      </c>
      <c r="I163" s="8" t="inlineStr">
        <is>
          <t>Bacillota</t>
        </is>
      </c>
      <c r="J163" s="8" t="n"/>
      <c r="K163" s="8" t="inlineStr">
        <is>
          <t>Bacilli</t>
        </is>
      </c>
      <c r="L163" s="8" t="inlineStr">
        <is>
          <t>Bacillales</t>
        </is>
      </c>
      <c r="M163" s="8" t="inlineStr">
        <is>
          <t>Paenibacillaceae</t>
        </is>
      </c>
      <c r="N163" s="8" t="inlineStr">
        <is>
          <t>Paenibacillus sp. nov.</t>
        </is>
      </c>
      <c r="O163" s="8" t="n"/>
      <c r="P163" s="8" t="n">
        <v>44249</v>
      </c>
      <c r="Q163" s="8" t="inlineStr">
        <is>
          <t>ppy</t>
        </is>
      </c>
      <c r="R163" s="8" t="n">
        <v>5384.48</v>
      </c>
      <c r="S163" s="8" t="n"/>
      <c r="T163" s="8" t="n"/>
      <c r="U163" s="8" t="n"/>
      <c r="V163" s="8" t="n"/>
      <c r="W163" s="8" t="inlineStr">
        <is>
          <t>ncbi-phylum-2026-08-04-v1</t>
        </is>
      </c>
      <c r="X163" s="8" t="inlineStr">
        <is>
          <t>submitted table</t>
        </is>
      </c>
      <c r="Y163" s="8" t="inlineStr">
        <is>
          <t>yes</t>
        </is>
      </c>
    </row>
    <row r="164">
      <c r="A164" s="8" t="inlineStr">
        <is>
          <t>UV231-2POS.mzML</t>
        </is>
      </c>
      <c r="B164" s="8" t="inlineStr">
        <is>
          <t>UV231-2POS</t>
        </is>
      </c>
      <c r="C164" s="8" t="inlineStr">
        <is>
          <t>batch_06_ALL-25-2</t>
        </is>
      </c>
      <c r="D164" s="8" t="inlineStr">
        <is>
          <t>Bacteria</t>
        </is>
      </c>
      <c r="E164" s="8" t="inlineStr">
        <is>
          <t>Bacillota</t>
        </is>
      </c>
      <c r="F164" s="8" t="n">
        <v>1239</v>
      </c>
      <c r="G164" s="8" t="inlineStr">
        <is>
          <t>core_candidate</t>
        </is>
      </c>
      <c r="H164" s="8" t="inlineStr">
        <is>
          <t>Bacteria</t>
        </is>
      </c>
      <c r="I164" s="8" t="inlineStr">
        <is>
          <t>Bacillota</t>
        </is>
      </c>
      <c r="J164" s="8" t="n"/>
      <c r="K164" s="8" t="inlineStr">
        <is>
          <t>Bacilli</t>
        </is>
      </c>
      <c r="L164" s="8" t="inlineStr">
        <is>
          <t>Bacillales</t>
        </is>
      </c>
      <c r="M164" s="8" t="inlineStr">
        <is>
          <t>Paenibacillaceae</t>
        </is>
      </c>
      <c r="N164" s="8" t="inlineStr">
        <is>
          <t>Paenibacillus sp. nov.</t>
        </is>
      </c>
      <c r="O164" s="8" t="n"/>
      <c r="P164" s="8" t="n">
        <v>44249</v>
      </c>
      <c r="Q164" s="8" t="inlineStr">
        <is>
          <t>ppy</t>
        </is>
      </c>
      <c r="R164" s="8" t="n">
        <v>5378.88</v>
      </c>
      <c r="S164" s="8" t="n"/>
      <c r="T164" s="8" t="n"/>
      <c r="U164" s="8" t="n"/>
      <c r="V164" s="8" t="n"/>
      <c r="W164" s="8" t="inlineStr">
        <is>
          <t>ncbi-phylum-2026-08-04-v1</t>
        </is>
      </c>
      <c r="X164" s="8" t="inlineStr">
        <is>
          <t>submitted table</t>
        </is>
      </c>
      <c r="Y164" s="8" t="inlineStr">
        <is>
          <t>yes</t>
        </is>
      </c>
    </row>
    <row r="165">
      <c r="A165" s="8" t="inlineStr">
        <is>
          <t>UV231-3POS.mzML</t>
        </is>
      </c>
      <c r="B165" s="8" t="inlineStr">
        <is>
          <t>UV231-3POS</t>
        </is>
      </c>
      <c r="C165" s="8" t="inlineStr">
        <is>
          <t>batch_06_ALL-25-2</t>
        </is>
      </c>
      <c r="D165" s="8" t="inlineStr">
        <is>
          <t>Bacteria</t>
        </is>
      </c>
      <c r="E165" s="8" t="inlineStr">
        <is>
          <t>Bacillota</t>
        </is>
      </c>
      <c r="F165" s="8" t="n">
        <v>1239</v>
      </c>
      <c r="G165" s="8" t="inlineStr">
        <is>
          <t>core_candidate</t>
        </is>
      </c>
      <c r="H165" s="8" t="inlineStr">
        <is>
          <t>Bacteria</t>
        </is>
      </c>
      <c r="I165" s="8" t="inlineStr">
        <is>
          <t>Bacillota</t>
        </is>
      </c>
      <c r="J165" s="8" t="n"/>
      <c r="K165" s="8" t="inlineStr">
        <is>
          <t>Bacilli</t>
        </is>
      </c>
      <c r="L165" s="8" t="inlineStr">
        <is>
          <t>Bacillales</t>
        </is>
      </c>
      <c r="M165" s="8" t="inlineStr">
        <is>
          <t>Paenibacillaceae</t>
        </is>
      </c>
      <c r="N165" s="8" t="inlineStr">
        <is>
          <t>Paenibacillus sp. nov.</t>
        </is>
      </c>
      <c r="O165" s="8" t="n"/>
      <c r="P165" s="8" t="n">
        <v>44249</v>
      </c>
      <c r="Q165" s="8" t="inlineStr">
        <is>
          <t>ppy</t>
        </is>
      </c>
      <c r="R165" s="8" t="n">
        <v>5094.62</v>
      </c>
      <c r="S165" s="8" t="n"/>
      <c r="T165" s="8" t="n"/>
      <c r="U165" s="8" t="n"/>
      <c r="V165" s="8" t="n"/>
      <c r="W165" s="8" t="inlineStr">
        <is>
          <t>ncbi-phylum-2026-08-04-v1</t>
        </is>
      </c>
      <c r="X165" s="8" t="inlineStr">
        <is>
          <t>submitted table</t>
        </is>
      </c>
      <c r="Y165" s="8" t="inlineStr">
        <is>
          <t>yes</t>
        </is>
      </c>
    </row>
    <row r="166">
      <c r="A166" s="8" t="inlineStr">
        <is>
          <t>UV231-4POS.mzML</t>
        </is>
      </c>
      <c r="B166" s="8" t="inlineStr">
        <is>
          <t>UV231-4POS</t>
        </is>
      </c>
      <c r="C166" s="8" t="inlineStr">
        <is>
          <t>batch_06_ALL-25-2</t>
        </is>
      </c>
      <c r="D166" s="8" t="inlineStr">
        <is>
          <t>Bacteria</t>
        </is>
      </c>
      <c r="E166" s="8" t="inlineStr">
        <is>
          <t>Bacillota</t>
        </is>
      </c>
      <c r="F166" s="8" t="n">
        <v>1239</v>
      </c>
      <c r="G166" s="8" t="inlineStr">
        <is>
          <t>core_candidate</t>
        </is>
      </c>
      <c r="H166" s="8" t="inlineStr">
        <is>
          <t>Bacteria</t>
        </is>
      </c>
      <c r="I166" s="8" t="inlineStr">
        <is>
          <t>Bacillota</t>
        </is>
      </c>
      <c r="J166" s="8" t="n"/>
      <c r="K166" s="8" t="inlineStr">
        <is>
          <t>Bacilli</t>
        </is>
      </c>
      <c r="L166" s="8" t="inlineStr">
        <is>
          <t>Bacillales</t>
        </is>
      </c>
      <c r="M166" s="8" t="inlineStr">
        <is>
          <t>Paenibacillaceae</t>
        </is>
      </c>
      <c r="N166" s="8" t="inlineStr">
        <is>
          <t>Paenibacillus sp. nov.</t>
        </is>
      </c>
      <c r="O166" s="8" t="n"/>
      <c r="P166" s="8" t="n">
        <v>44249</v>
      </c>
      <c r="Q166" s="8" t="inlineStr">
        <is>
          <t>ppy</t>
        </is>
      </c>
      <c r="R166" s="8" t="n">
        <v>5618.93</v>
      </c>
      <c r="S166" s="8" t="n"/>
      <c r="T166" s="8" t="n"/>
      <c r="U166" s="8" t="n"/>
      <c r="V166" s="8" t="n"/>
      <c r="W166" s="8" t="inlineStr">
        <is>
          <t>ncbi-phylum-2026-08-04-v1</t>
        </is>
      </c>
      <c r="X166" s="8" t="inlineStr">
        <is>
          <t>submitted table</t>
        </is>
      </c>
      <c r="Y166" s="8" t="inlineStr">
        <is>
          <t>yes</t>
        </is>
      </c>
    </row>
    <row r="167">
      <c r="A167" s="8" t="inlineStr">
        <is>
          <t>UV238POS.mzML</t>
        </is>
      </c>
      <c r="B167" s="8" t="inlineStr">
        <is>
          <t>UV238POS</t>
        </is>
      </c>
      <c r="C167" s="8" t="inlineStr">
        <is>
          <t>batch_06_ALL-25-2</t>
        </is>
      </c>
      <c r="D167" s="8" t="inlineStr">
        <is>
          <t>Bacteria</t>
        </is>
      </c>
      <c r="E167" s="8" t="inlineStr">
        <is>
          <t>Actinomycetota</t>
        </is>
      </c>
      <c r="F167" s="8" t="n">
        <v>201174</v>
      </c>
      <c r="G167" s="8" t="inlineStr">
        <is>
          <t>core_candidate</t>
        </is>
      </c>
      <c r="H167" s="8" t="inlineStr">
        <is>
          <t>Bacteria</t>
        </is>
      </c>
      <c r="I167" s="8" t="inlineStr">
        <is>
          <t>Actinomycetota</t>
        </is>
      </c>
      <c r="J167" s="8" t="n"/>
      <c r="K167" s="8" t="inlineStr">
        <is>
          <t>Actinomycetes</t>
        </is>
      </c>
      <c r="L167" s="8" t="inlineStr">
        <is>
          <t>Micrococcales</t>
        </is>
      </c>
      <c r="M167" s="8" t="inlineStr">
        <is>
          <t>Micrococcaceae</t>
        </is>
      </c>
      <c r="N167" s="8" t="inlineStr">
        <is>
          <t>Pseudarthrobacter psychrotolerans</t>
        </is>
      </c>
      <c r="O167" s="8" t="n"/>
      <c r="P167" s="8" t="n">
        <v>2697569</v>
      </c>
      <c r="Q167" s="8" t="n"/>
      <c r="R167" s="8" t="n">
        <v>4473.1</v>
      </c>
      <c r="S167" s="8" t="n"/>
      <c r="T167" s="8" t="n"/>
      <c r="U167" s="8" t="n"/>
      <c r="V167" s="8" t="n"/>
      <c r="W167" s="8" t="inlineStr">
        <is>
          <t>ncbi-phylum-2026-08-04-v1</t>
        </is>
      </c>
      <c r="X167" s="8" t="inlineStr">
        <is>
          <t>submitted table</t>
        </is>
      </c>
      <c r="Y167" s="8" t="inlineStr">
        <is>
          <t>yes</t>
        </is>
      </c>
    </row>
    <row r="168">
      <c r="A168" s="8" t="inlineStr">
        <is>
          <t>UV264POS.mzML</t>
        </is>
      </c>
      <c r="B168" s="8" t="inlineStr">
        <is>
          <t>UV264POS</t>
        </is>
      </c>
      <c r="C168" s="8" t="inlineStr">
        <is>
          <t>batch_06_ALL-25-2</t>
        </is>
      </c>
      <c r="D168" s="8" t="inlineStr">
        <is>
          <t>Bacteria</t>
        </is>
      </c>
      <c r="E168" s="8" t="inlineStr">
        <is>
          <t>Pseudomonadota</t>
        </is>
      </c>
      <c r="F168" s="8" t="n">
        <v>1224</v>
      </c>
      <c r="G168" s="8" t="inlineStr">
        <is>
          <t>core_candidate</t>
        </is>
      </c>
      <c r="H168" s="8" t="inlineStr">
        <is>
          <t>Bacteria</t>
        </is>
      </c>
      <c r="I168" s="8" t="inlineStr">
        <is>
          <t>Pseudomonadota</t>
        </is>
      </c>
      <c r="J168" s="8" t="n"/>
      <c r="K168" s="8" t="inlineStr">
        <is>
          <t>Alphaproteobacteria</t>
        </is>
      </c>
      <c r="L168" s="8" t="inlineStr">
        <is>
          <t>Rhizobiales</t>
        </is>
      </c>
      <c r="M168" s="8" t="inlineStr">
        <is>
          <t>Bradyrhizobiaceae</t>
        </is>
      </c>
      <c r="N168" s="8" t="inlineStr">
        <is>
          <t>Bradyrhizobium sp. nov.</t>
        </is>
      </c>
      <c r="O168" s="8" t="n"/>
      <c r="P168" s="8" t="n">
        <v>374</v>
      </c>
      <c r="Q168" s="8" t="inlineStr">
        <is>
          <t>bra</t>
        </is>
      </c>
      <c r="R168" s="8" t="n">
        <v>5221.13</v>
      </c>
      <c r="S168" s="8" t="n"/>
      <c r="T168" s="8" t="n"/>
      <c r="U168" s="8" t="n"/>
      <c r="V168" s="8" t="n"/>
      <c r="W168" s="8" t="inlineStr">
        <is>
          <t>ncbi-phylum-2026-08-04-v1</t>
        </is>
      </c>
      <c r="X168" s="8" t="inlineStr">
        <is>
          <t>submitted table</t>
        </is>
      </c>
      <c r="Y168" s="8" t="inlineStr">
        <is>
          <t>yes</t>
        </is>
      </c>
    </row>
    <row r="169">
      <c r="A169" s="8" t="inlineStr">
        <is>
          <t>UV287-1POS.mzML</t>
        </is>
      </c>
      <c r="B169" s="8" t="inlineStr">
        <is>
          <t>UV287-1POS</t>
        </is>
      </c>
      <c r="C169" s="8" t="inlineStr">
        <is>
          <t>batch_06_ALL-25-2</t>
        </is>
      </c>
      <c r="D169" s="8" t="inlineStr">
        <is>
          <t>Bacteria</t>
        </is>
      </c>
      <c r="E169" s="8" t="inlineStr">
        <is>
          <t>Actinomycetota</t>
        </is>
      </c>
      <c r="F169" s="8" t="n">
        <v>201174</v>
      </c>
      <c r="G169" s="8" t="inlineStr">
        <is>
          <t>core_candidate</t>
        </is>
      </c>
      <c r="H169" s="8" t="inlineStr">
        <is>
          <t>Bacteria</t>
        </is>
      </c>
      <c r="I169" s="8" t="inlineStr">
        <is>
          <t>Actinomycetota</t>
        </is>
      </c>
      <c r="J169" s="8" t="n"/>
      <c r="K169" s="8" t="inlineStr">
        <is>
          <t>Actinomycetes</t>
        </is>
      </c>
      <c r="L169" s="8" t="inlineStr">
        <is>
          <t>Micrococcales</t>
        </is>
      </c>
      <c r="M169" s="8" t="inlineStr">
        <is>
          <t>Micrococcaceae</t>
        </is>
      </c>
      <c r="N169" s="8" t="inlineStr">
        <is>
          <t>Arthrobacter glacialis</t>
        </is>
      </c>
      <c r="O169" s="8" t="n"/>
      <c r="P169" s="8" t="n">
        <v>1664</v>
      </c>
      <c r="Q169" s="8" t="n"/>
      <c r="R169" s="8" t="n">
        <v>5076.66</v>
      </c>
      <c r="S169" s="8" t="n"/>
      <c r="T169" s="8" t="n"/>
      <c r="U169" s="8" t="n"/>
      <c r="V169" s="8" t="n"/>
      <c r="W169" s="8" t="inlineStr">
        <is>
          <t>ncbi-phylum-2026-08-04-v1</t>
        </is>
      </c>
      <c r="X169" s="8" t="inlineStr">
        <is>
          <t>submitted table</t>
        </is>
      </c>
      <c r="Y169" s="8" t="inlineStr">
        <is>
          <t>yes</t>
        </is>
      </c>
    </row>
    <row r="170">
      <c r="A170" s="8" t="inlineStr">
        <is>
          <t>UV287-2POS.mzML</t>
        </is>
      </c>
      <c r="B170" s="8" t="inlineStr">
        <is>
          <t>UV287-2POS</t>
        </is>
      </c>
      <c r="C170" s="8" t="inlineStr">
        <is>
          <t>batch_06_ALL-25-2</t>
        </is>
      </c>
      <c r="D170" s="8" t="inlineStr">
        <is>
          <t>Bacteria</t>
        </is>
      </c>
      <c r="E170" s="8" t="inlineStr">
        <is>
          <t>Actinomycetota</t>
        </is>
      </c>
      <c r="F170" s="8" t="n">
        <v>201174</v>
      </c>
      <c r="G170" s="8" t="inlineStr">
        <is>
          <t>core_candidate</t>
        </is>
      </c>
      <c r="H170" s="8" t="inlineStr">
        <is>
          <t>Bacteria</t>
        </is>
      </c>
      <c r="I170" s="8" t="inlineStr">
        <is>
          <t>Actinomycetota</t>
        </is>
      </c>
      <c r="J170" s="8" t="n"/>
      <c r="K170" s="8" t="inlineStr">
        <is>
          <t>Actinomycetes</t>
        </is>
      </c>
      <c r="L170" s="8" t="inlineStr">
        <is>
          <t>Micrococcales</t>
        </is>
      </c>
      <c r="M170" s="8" t="inlineStr">
        <is>
          <t>Micrococcaceae</t>
        </is>
      </c>
      <c r="N170" s="8" t="inlineStr">
        <is>
          <t>Arthrobacter glacialis</t>
        </is>
      </c>
      <c r="O170" s="8" t="n"/>
      <c r="P170" s="8" t="n">
        <v>1664</v>
      </c>
      <c r="Q170" s="8" t="n"/>
      <c r="R170" s="8" t="n">
        <v>5361.92</v>
      </c>
      <c r="S170" s="8" t="n"/>
      <c r="T170" s="8" t="n"/>
      <c r="U170" s="8" t="n"/>
      <c r="V170" s="8" t="n"/>
      <c r="W170" s="8" t="inlineStr">
        <is>
          <t>ncbi-phylum-2026-08-04-v1</t>
        </is>
      </c>
      <c r="X170" s="8" t="inlineStr">
        <is>
          <t>submitted table</t>
        </is>
      </c>
      <c r="Y170" s="8" t="inlineStr">
        <is>
          <t>yes</t>
        </is>
      </c>
    </row>
    <row r="171">
      <c r="A171" s="8" t="inlineStr">
        <is>
          <t>UV287-3POS.mzML</t>
        </is>
      </c>
      <c r="B171" s="8" t="inlineStr">
        <is>
          <t>UV287-3POS</t>
        </is>
      </c>
      <c r="C171" s="8" t="inlineStr">
        <is>
          <t>batch_06_ALL-25-2</t>
        </is>
      </c>
      <c r="D171" s="8" t="inlineStr">
        <is>
          <t>Bacteria</t>
        </is>
      </c>
      <c r="E171" s="8" t="inlineStr">
        <is>
          <t>Actinomycetota</t>
        </is>
      </c>
      <c r="F171" s="8" t="n">
        <v>201174</v>
      </c>
      <c r="G171" s="8" t="inlineStr">
        <is>
          <t>core_candidate</t>
        </is>
      </c>
      <c r="H171" s="8" t="inlineStr">
        <is>
          <t>Bacteria</t>
        </is>
      </c>
      <c r="I171" s="8" t="inlineStr">
        <is>
          <t>Actinomycetota</t>
        </is>
      </c>
      <c r="J171" s="8" t="n"/>
      <c r="K171" s="8" t="inlineStr">
        <is>
          <t>Actinomycetes</t>
        </is>
      </c>
      <c r="L171" s="8" t="inlineStr">
        <is>
          <t>Micrococcales</t>
        </is>
      </c>
      <c r="M171" s="8" t="inlineStr">
        <is>
          <t>Micrococcaceae</t>
        </is>
      </c>
      <c r="N171" s="8" t="inlineStr">
        <is>
          <t>Arthrobacter glacialis</t>
        </is>
      </c>
      <c r="O171" s="8" t="n"/>
      <c r="P171" s="8" t="n">
        <v>1664</v>
      </c>
      <c r="Q171" s="8" t="n"/>
      <c r="R171" s="8" t="n">
        <v>5728.87</v>
      </c>
      <c r="S171" s="8" t="n"/>
      <c r="T171" s="8" t="n"/>
      <c r="U171" s="8" t="n"/>
      <c r="V171" s="8" t="n"/>
      <c r="W171" s="8" t="inlineStr">
        <is>
          <t>ncbi-phylum-2026-08-04-v1</t>
        </is>
      </c>
      <c r="X171" s="8" t="inlineStr">
        <is>
          <t>submitted table</t>
        </is>
      </c>
      <c r="Y171" s="8" t="inlineStr">
        <is>
          <t>yes</t>
        </is>
      </c>
    </row>
    <row r="172">
      <c r="A172" s="8" t="inlineStr">
        <is>
          <t>UV287-4POS.mzML</t>
        </is>
      </c>
      <c r="B172" s="8" t="inlineStr">
        <is>
          <t>UV287-4POS</t>
        </is>
      </c>
      <c r="C172" s="8" t="inlineStr">
        <is>
          <t>batch_06_ALL-25-2</t>
        </is>
      </c>
      <c r="D172" s="8" t="inlineStr">
        <is>
          <t>Bacteria</t>
        </is>
      </c>
      <c r="E172" s="8" t="inlineStr">
        <is>
          <t>Actinomycetota</t>
        </is>
      </c>
      <c r="F172" s="8" t="n">
        <v>201174</v>
      </c>
      <c r="G172" s="8" t="inlineStr">
        <is>
          <t>core_candidate</t>
        </is>
      </c>
      <c r="H172" s="8" t="inlineStr">
        <is>
          <t>Bacteria</t>
        </is>
      </c>
      <c r="I172" s="8" t="inlineStr">
        <is>
          <t>Actinomycetota</t>
        </is>
      </c>
      <c r="J172" s="8" t="n"/>
      <c r="K172" s="8" t="inlineStr">
        <is>
          <t>Actinomycetes</t>
        </is>
      </c>
      <c r="L172" s="8" t="inlineStr">
        <is>
          <t>Micrococcales</t>
        </is>
      </c>
      <c r="M172" s="8" t="inlineStr">
        <is>
          <t>Micrococcaceae</t>
        </is>
      </c>
      <c r="N172" s="8" t="inlineStr">
        <is>
          <t>Arthrobacter glacialis</t>
        </is>
      </c>
      <c r="O172" s="8" t="n"/>
      <c r="P172" s="8" t="n">
        <v>1664</v>
      </c>
      <c r="Q172" s="8" t="n"/>
      <c r="R172" s="8" t="n">
        <v>5561.23</v>
      </c>
      <c r="S172" s="8" t="n"/>
      <c r="T172" s="8" t="n"/>
      <c r="U172" s="8" t="n"/>
      <c r="V172" s="8" t="n"/>
      <c r="W172" s="8" t="inlineStr">
        <is>
          <t>ncbi-phylum-2026-08-04-v1</t>
        </is>
      </c>
      <c r="X172" s="8" t="inlineStr">
        <is>
          <t>submitted table</t>
        </is>
      </c>
      <c r="Y172" s="8" t="inlineStr">
        <is>
          <t>yes</t>
        </is>
      </c>
    </row>
    <row r="173">
      <c r="A173" s="8" t="inlineStr">
        <is>
          <t>UV331POS.mzML</t>
        </is>
      </c>
      <c r="B173" s="8" t="inlineStr">
        <is>
          <t>UV331POS</t>
        </is>
      </c>
      <c r="C173" s="8" t="inlineStr">
        <is>
          <t>batch_06_ALL-25-2</t>
        </is>
      </c>
      <c r="D173" s="8" t="inlineStr">
        <is>
          <t>Bacteria</t>
        </is>
      </c>
      <c r="E173" s="8" t="inlineStr">
        <is>
          <t>Pseudomonadota</t>
        </is>
      </c>
      <c r="F173" s="8" t="n">
        <v>1224</v>
      </c>
      <c r="G173" s="8" t="inlineStr">
        <is>
          <t>core_candidate</t>
        </is>
      </c>
      <c r="H173" s="8" t="inlineStr">
        <is>
          <t>Bacteria</t>
        </is>
      </c>
      <c r="I173" s="8" t="inlineStr">
        <is>
          <t>Pseudomonadota</t>
        </is>
      </c>
      <c r="J173" s="8" t="n"/>
      <c r="K173" s="8" t="inlineStr">
        <is>
          <t>Gammaproteobacteria</t>
        </is>
      </c>
      <c r="L173" s="8" t="inlineStr">
        <is>
          <t>Pseudomonadales</t>
        </is>
      </c>
      <c r="M173" s="8" t="inlineStr">
        <is>
          <t>Pseudomonadaceae</t>
        </is>
      </c>
      <c r="N173" s="8" t="inlineStr">
        <is>
          <t>Pseudomonas sp. nov.</t>
        </is>
      </c>
      <c r="O173" s="8" t="n"/>
      <c r="P173" s="8" t="n">
        <v>286</v>
      </c>
      <c r="Q173" s="8" t="inlineStr">
        <is>
          <t>pae</t>
        </is>
      </c>
      <c r="R173" s="8" t="n">
        <v>1908.01</v>
      </c>
      <c r="S173" s="8" t="n"/>
      <c r="T173" s="8" t="n"/>
      <c r="U173" s="8" t="n"/>
      <c r="V173" s="8" t="n"/>
      <c r="W173" s="8" t="inlineStr">
        <is>
          <t>ncbi-phylum-2026-08-04-v1</t>
        </is>
      </c>
      <c r="X173" s="8" t="inlineStr">
        <is>
          <t>submitted table</t>
        </is>
      </c>
      <c r="Y173" s="8" t="inlineStr">
        <is>
          <t>yes</t>
        </is>
      </c>
    </row>
    <row r="174">
      <c r="A174" s="8" t="inlineStr">
        <is>
          <t>OE25F3POS.mzML</t>
        </is>
      </c>
      <c r="B174" s="8" t="inlineStr">
        <is>
          <t>OE25F3POS</t>
        </is>
      </c>
      <c r="C174" s="8" t="inlineStr">
        <is>
          <t>batch_02_OE21-4-POS</t>
        </is>
      </c>
      <c r="D174" s="8" t="inlineStr">
        <is>
          <t>Fungi</t>
        </is>
      </c>
      <c r="E174" s="8" t="inlineStr">
        <is>
          <t>Ascomycota</t>
        </is>
      </c>
      <c r="F174" s="8" t="n">
        <v>4890</v>
      </c>
      <c r="G174" s="8" t="inlineStr">
        <is>
          <t>core_candidate</t>
        </is>
      </c>
      <c r="H174" s="8" t="inlineStr">
        <is>
          <t>Fungi</t>
        </is>
      </c>
      <c r="I174" s="8" t="inlineStr">
        <is>
          <t>Ascomycota</t>
        </is>
      </c>
      <c r="J174" s="8" t="n"/>
      <c r="K174" s="8" t="inlineStr">
        <is>
          <t>Pezizomycetes</t>
        </is>
      </c>
      <c r="L174" s="8" t="inlineStr">
        <is>
          <t>Pezizales</t>
        </is>
      </c>
      <c r="M174" s="8" t="inlineStr">
        <is>
          <t>Tuberaceae</t>
        </is>
      </c>
      <c r="N174" s="8" t="inlineStr">
        <is>
          <t>Tuber Sp</t>
        </is>
      </c>
      <c r="O174" s="8" t="n"/>
      <c r="P174" s="8" t="n">
        <v>36048</v>
      </c>
      <c r="Q174" s="8" t="inlineStr">
        <is>
          <t>tml</t>
        </is>
      </c>
      <c r="R174" s="8" t="n"/>
      <c r="S174" s="8" t="n"/>
      <c r="T174" s="8" t="n"/>
      <c r="U174" s="8" t="n"/>
      <c r="V174" s="8" t="n"/>
      <c r="W174" s="8" t="inlineStr">
        <is>
          <t>ncbi-phylum-2026-08-04-v1</t>
        </is>
      </c>
      <c r="X174" s="8" t="inlineStr">
        <is>
          <t>duplicate row in submitted table (excluded from counts)</t>
        </is>
      </c>
      <c r="Y174" s="8" t="inlineStr">
        <is>
          <t>no</t>
        </is>
      </c>
    </row>
    <row r="175">
      <c r="A175" s="8" t="inlineStr">
        <is>
          <t>ACNeffE25-123POS.mzML</t>
        </is>
      </c>
      <c r="B175" s="8" t="inlineStr">
        <is>
          <t>ACNeffE25-123POS</t>
        </is>
      </c>
      <c r="C175" s="8" t="inlineStr">
        <is>
          <t>batch_05_OE25-1-ALL</t>
        </is>
      </c>
      <c r="D175" s="8" t="inlineStr">
        <is>
          <t>Protists</t>
        </is>
      </c>
      <c r="E175" s="8" t="inlineStr">
        <is>
          <t>Discosea</t>
        </is>
      </c>
      <c r="F175" s="8" t="n">
        <v>555280</v>
      </c>
      <c r="G175" s="8" t="inlineStr">
        <is>
          <t>core_candidate</t>
        </is>
      </c>
      <c r="H175" s="8" t="inlineStr">
        <is>
          <t>Protozoa</t>
        </is>
      </c>
      <c r="I175" s="8" t="inlineStr">
        <is>
          <t>Discosea</t>
        </is>
      </c>
      <c r="J175" s="8" t="n"/>
      <c r="K175" s="8" t="inlineStr">
        <is>
          <t>Discosea</t>
        </is>
      </c>
      <c r="L175" s="8" t="inlineStr">
        <is>
          <t>Centramoebida</t>
        </is>
      </c>
      <c r="M175" s="8" t="inlineStr">
        <is>
          <t>Acanthamoebidae</t>
        </is>
      </c>
      <c r="N175" s="8" t="inlineStr">
        <is>
          <t>Acanthamoeba terricola</t>
        </is>
      </c>
      <c r="O175" s="8" t="inlineStr">
        <is>
          <t>Acanthamoeba terricola Neff-E25</t>
        </is>
      </c>
      <c r="P175" s="8" t="n"/>
      <c r="Q175" s="8" t="n"/>
      <c r="R175" s="8" t="n"/>
      <c r="S175" s="8" t="n"/>
      <c r="T175" s="8" t="n"/>
      <c r="U175" s="8" t="n"/>
      <c r="V175" s="8" t="n"/>
      <c r="W175" s="8" t="inlineStr">
        <is>
          <t>ncbi-phylum-2026-08-04-v1</t>
        </is>
      </c>
      <c r="X175" s="8" t="inlineStr">
        <is>
          <t>added from release (absent from submitted table)</t>
        </is>
      </c>
      <c r="Y175" s="8" t="inlineStr">
        <is>
          <t>yes</t>
        </is>
      </c>
    </row>
    <row r="176">
      <c r="A176" s="8" t="inlineStr">
        <is>
          <t>Lu19POS.mzML</t>
        </is>
      </c>
      <c r="B176" s="8" t="inlineStr">
        <is>
          <t>Lu19POS</t>
        </is>
      </c>
      <c r="C176" s="8" t="inlineStr">
        <is>
          <t>batch_03_OE23-POS</t>
        </is>
      </c>
      <c r="D176" s="8" t="inlineStr">
        <is>
          <t>Bacteria</t>
        </is>
      </c>
      <c r="E176" s="8" t="inlineStr">
        <is>
          <t>Cyanobacteriota</t>
        </is>
      </c>
      <c r="F176" s="8" t="n">
        <v>1117</v>
      </c>
      <c r="G176" s="8" t="inlineStr">
        <is>
          <t>core_candidate</t>
        </is>
      </c>
      <c r="H176" s="8" t="inlineStr">
        <is>
          <t>Mixed</t>
        </is>
      </c>
      <c r="I176" s="8" t="inlineStr">
        <is>
          <t>Cyanobacteriota</t>
        </is>
      </c>
      <c r="J176" s="8" t="n"/>
      <c r="K176" s="8" t="n"/>
      <c r="L176" s="8" t="n"/>
      <c r="M176" s="8" t="n"/>
      <c r="N176" s="8" t="inlineStr">
        <is>
          <t>lichen</t>
        </is>
      </c>
      <c r="O176" s="8" t="inlineStr">
        <is>
          <t>lichen (Lichen)</t>
        </is>
      </c>
      <c r="P176" s="8" t="n"/>
      <c r="Q176" s="8" t="n"/>
      <c r="R176" s="8" t="n"/>
      <c r="S176" s="8" t="n"/>
      <c r="T176" s="8" t="n"/>
      <c r="U176" s="8" t="n"/>
      <c r="V176" s="8" t="n"/>
      <c r="W176" s="8" t="inlineStr">
        <is>
          <t>ncbi-phylum-2026-08-04-v1</t>
        </is>
      </c>
      <c r="X176" s="8" t="inlineStr">
        <is>
          <t>added from release (absent from submitted table)</t>
        </is>
      </c>
      <c r="Y176" s="8" t="inlineStr">
        <is>
          <t>yes</t>
        </is>
      </c>
    </row>
    <row r="177">
      <c r="A177" s="8" t="inlineStr">
        <is>
          <t>OE11-3-E4-P27POS.mzML</t>
        </is>
      </c>
      <c r="B177" s="8" t="inlineStr">
        <is>
          <t>OE11-3-E4-P27POS</t>
        </is>
      </c>
      <c r="C177" s="8" t="inlineStr">
        <is>
          <t>batch_01_OE11-3-POS</t>
        </is>
      </c>
      <c r="D177" s="8" t="inlineStr">
        <is>
          <t>Viridiplantae</t>
        </is>
      </c>
      <c r="E177" s="9" t="inlineStr">
        <is>
          <t>Streptophyta</t>
        </is>
      </c>
      <c r="F177" s="8" t="n">
        <v>35493</v>
      </c>
      <c r="G177" s="8" t="inlineStr">
        <is>
          <t>core_candidate</t>
        </is>
      </c>
      <c r="H177" s="8" t="inlineStr">
        <is>
          <t>Plantae</t>
        </is>
      </c>
      <c r="I177" s="8" t="inlineStr">
        <is>
          <t>Tracheophyta</t>
        </is>
      </c>
      <c r="J177" s="8" t="inlineStr">
        <is>
          <t>yes</t>
        </is>
      </c>
      <c r="K177" s="8" t="inlineStr">
        <is>
          <t>Ginkgoopsida</t>
        </is>
      </c>
      <c r="L177" s="8" t="inlineStr">
        <is>
          <t>Ginkgoales</t>
        </is>
      </c>
      <c r="M177" s="8" t="inlineStr">
        <is>
          <t>Ginkgoaceae</t>
        </is>
      </c>
      <c r="N177" s="8" t="inlineStr">
        <is>
          <t>Ginkgo</t>
        </is>
      </c>
      <c r="O177" s="8" t="inlineStr">
        <is>
          <t>Ginkgo biloba</t>
        </is>
      </c>
      <c r="P177" s="8" t="n"/>
      <c r="Q177" s="8" t="n"/>
      <c r="R177" s="8" t="n"/>
      <c r="S177" s="8" t="n"/>
      <c r="T177" s="8" t="n"/>
      <c r="U177" s="8" t="n"/>
      <c r="V177" s="8" t="n"/>
      <c r="W177" s="8" t="inlineStr">
        <is>
          <t>ncbi-phylum-2026-08-04-v1</t>
        </is>
      </c>
      <c r="X177" s="8" t="inlineStr">
        <is>
          <t>added from release (absent from submitted table)</t>
        </is>
      </c>
      <c r="Y177" s="8" t="inlineStr">
        <is>
          <t>yes</t>
        </is>
      </c>
    </row>
    <row r="178">
      <c r="A178" s="8" t="inlineStr">
        <is>
          <t>OE21-4-F3POS.mzML</t>
        </is>
      </c>
      <c r="B178" s="8" t="inlineStr">
        <is>
          <t>OE21-4-F3POS</t>
        </is>
      </c>
      <c r="C178" s="8" t="inlineStr">
        <is>
          <t>batch_02_OE21-4-POS</t>
        </is>
      </c>
      <c r="D178" s="8" t="inlineStr">
        <is>
          <t>Fungi</t>
        </is>
      </c>
      <c r="E178" s="8" t="inlineStr">
        <is>
          <t>Ascomycota</t>
        </is>
      </c>
      <c r="F178" s="8" t="n">
        <v>4890</v>
      </c>
      <c r="G178" s="8" t="inlineStr">
        <is>
          <t>core_candidate</t>
        </is>
      </c>
      <c r="H178" s="8" t="inlineStr">
        <is>
          <t>Fungi</t>
        </is>
      </c>
      <c r="I178" s="8" t="inlineStr">
        <is>
          <t>Ascomycota</t>
        </is>
      </c>
      <c r="J178" s="8" t="n"/>
      <c r="K178" s="8" t="inlineStr">
        <is>
          <t>Pezizomycetes</t>
        </is>
      </c>
      <c r="L178" s="8" t="inlineStr">
        <is>
          <t>Pezizales</t>
        </is>
      </c>
      <c r="M178" s="8" t="inlineStr">
        <is>
          <t>Tuberaceae</t>
        </is>
      </c>
      <c r="N178" s="8" t="inlineStr">
        <is>
          <t>Tuber Sp</t>
        </is>
      </c>
      <c r="O178" s="8" t="n"/>
      <c r="P178" s="8" t="n"/>
      <c r="Q178" s="8" t="n"/>
      <c r="R178" s="8" t="n"/>
      <c r="S178" s="8" t="n"/>
      <c r="T178" s="8" t="n"/>
      <c r="U178" s="8" t="n"/>
      <c r="V178" s="8" t="n"/>
      <c r="W178" s="8" t="inlineStr">
        <is>
          <t>ncbi-phylum-2026-08-04-v1</t>
        </is>
      </c>
      <c r="X178" s="8" t="inlineStr">
        <is>
          <t>added from release (absent from submitted table)</t>
        </is>
      </c>
      <c r="Y178" s="8" t="inlineStr">
        <is>
          <t>yes</t>
        </is>
      </c>
    </row>
    <row r="179">
      <c r="A179" s="8" t="inlineStr">
        <is>
          <t>OE25102891POS.mzML</t>
        </is>
      </c>
      <c r="B179" s="8" t="inlineStr">
        <is>
          <t>OE25102891POS</t>
        </is>
      </c>
      <c r="C179" s="8" t="inlineStr">
        <is>
          <t>batch_04_OE26-1POS</t>
        </is>
      </c>
      <c r="D179" s="8" t="inlineStr">
        <is>
          <t>Bacteria</t>
        </is>
      </c>
      <c r="E179" s="8" t="inlineStr">
        <is>
          <t>Actinomycetota</t>
        </is>
      </c>
      <c r="F179" s="8" t="n">
        <v>201174</v>
      </c>
      <c r="G179" s="8" t="inlineStr">
        <is>
          <t>core_candidate</t>
        </is>
      </c>
      <c r="H179" s="8" t="inlineStr">
        <is>
          <t>Bacteria</t>
        </is>
      </c>
      <c r="I179" s="8" t="inlineStr">
        <is>
          <t>Actinomycetota</t>
        </is>
      </c>
      <c r="J179" s="8" t="n"/>
      <c r="K179" s="8" t="inlineStr">
        <is>
          <t>Actinomycetes</t>
        </is>
      </c>
      <c r="L179" s="8" t="inlineStr">
        <is>
          <t>Micrococcales</t>
        </is>
      </c>
      <c r="M179" s="8" t="inlineStr">
        <is>
          <t>Micrococcaceae</t>
        </is>
      </c>
      <c r="N179" s="8" t="inlineStr">
        <is>
          <t>Arthrobacter</t>
        </is>
      </c>
      <c r="O179" s="8" t="inlineStr">
        <is>
          <t>Arthrobacter sp</t>
        </is>
      </c>
      <c r="P179" s="8" t="n"/>
      <c r="Q179" s="8" t="n"/>
      <c r="R179" s="8" t="n"/>
      <c r="S179" s="8" t="n"/>
      <c r="T179" s="8" t="n"/>
      <c r="U179" s="8" t="n"/>
      <c r="V179" s="8" t="n"/>
      <c r="W179" s="8" t="inlineStr">
        <is>
          <t>ncbi-phylum-2026-08-04-v1</t>
        </is>
      </c>
      <c r="X179" s="8" t="inlineStr">
        <is>
          <t>added from release (absent from submitted table)</t>
        </is>
      </c>
      <c r="Y179" s="8" t="inlineStr">
        <is>
          <t>yes</t>
        </is>
      </c>
    </row>
    <row r="180">
      <c r="A180" s="8" t="inlineStr">
        <is>
          <t>OE25DSM1988POS.mzML</t>
        </is>
      </c>
      <c r="B180" s="8" t="inlineStr">
        <is>
          <t>OE25DSM1988POS</t>
        </is>
      </c>
      <c r="C180" s="8" t="inlineStr">
        <is>
          <t>batch_04_OE26-1POS</t>
        </is>
      </c>
      <c r="D180" s="8" t="inlineStr">
        <is>
          <t>Fungi</t>
        </is>
      </c>
      <c r="E180" s="8" t="inlineStr">
        <is>
          <t>Ascomycota</t>
        </is>
      </c>
      <c r="F180" s="8" t="n">
        <v>4890</v>
      </c>
      <c r="G180" s="8" t="inlineStr">
        <is>
          <t>core_candidate</t>
        </is>
      </c>
      <c r="H180" s="8" t="inlineStr">
        <is>
          <t>Fungi</t>
        </is>
      </c>
      <c r="I180" s="8" t="inlineStr">
        <is>
          <t>Ascomycota</t>
        </is>
      </c>
      <c r="J180" s="8" t="n"/>
      <c r="K180" s="8" t="inlineStr">
        <is>
          <t>Eurotiomycetes</t>
        </is>
      </c>
      <c r="L180" s="8" t="inlineStr">
        <is>
          <t>Eurotiales</t>
        </is>
      </c>
      <c r="M180" s="8" t="inlineStr">
        <is>
          <t>Aspergillaceae</t>
        </is>
      </c>
      <c r="N180" s="8" t="inlineStr">
        <is>
          <t>Aspergillus</t>
        </is>
      </c>
      <c r="O180" s="8" t="inlineStr">
        <is>
          <t>Aspergillus brasiliensis</t>
        </is>
      </c>
      <c r="P180" s="8" t="n"/>
      <c r="Q180" s="8" t="n"/>
      <c r="R180" s="8" t="n"/>
      <c r="S180" s="8" t="n"/>
      <c r="T180" s="8" t="n"/>
      <c r="U180" s="8" t="n"/>
      <c r="V180" s="8" t="n"/>
      <c r="W180" s="8" t="inlineStr">
        <is>
          <t>ncbi-phylum-2026-08-04-v1</t>
        </is>
      </c>
      <c r="X180" s="8" t="inlineStr">
        <is>
          <t>added from release (absent from submitted table)</t>
        </is>
      </c>
      <c r="Y180" s="8"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outlineLevelCol="0"/>
  <cols>
    <col width="19" customWidth="1" min="1" max="1"/>
    <col width="19" customWidth="1" min="2" max="2"/>
    <col width="11" customWidth="1" min="3" max="3"/>
    <col width="10" customWidth="1" min="4" max="4"/>
    <col width="24" customWidth="1" min="5" max="5"/>
  </cols>
  <sheetData>
    <row r="1">
      <c r="A1" s="5" t="inlineStr">
        <is>
          <t>Supplementary Table S1b. Per-phylum inventory (core samples)</t>
        </is>
      </c>
    </row>
    <row r="2">
      <c r="A2" s="6" t="inlineStr">
        <is>
          <t>Sample and genus counts per release phylum. n_species is not reported - see Notes.</t>
        </is>
      </c>
    </row>
    <row r="3"/>
    <row r="4">
      <c r="A4" s="7" t="inlineStr">
        <is>
          <t>Kingdom (release)</t>
        </is>
      </c>
      <c r="B4" s="7" t="inlineStr">
        <is>
          <t>Phylum (release)</t>
        </is>
      </c>
      <c r="C4" s="7" t="inlineStr">
        <is>
          <t>n_samples</t>
        </is>
      </c>
      <c r="D4" s="7" t="inlineStr">
        <is>
          <t>n_genera</t>
        </is>
      </c>
      <c r="E4" s="7" t="inlineStr">
        <is>
          <t>In strict analysis set</t>
        </is>
      </c>
    </row>
    <row r="5">
      <c r="A5" s="8" t="inlineStr">
        <is>
          <t>Animalia</t>
        </is>
      </c>
      <c r="B5" s="8" t="inlineStr">
        <is>
          <t>Arthropoda</t>
        </is>
      </c>
      <c r="C5" s="8">
        <f>COUNTIFS(Per_sample_inventory!$E$5:$E$180,B5,Per_sample_inventory!$Y$5:$Y$180,"yes")</f>
        <v/>
      </c>
      <c r="D5" s="8" t="n">
        <v>8</v>
      </c>
      <c r="E5" s="8" t="inlineStr">
        <is>
          <t>yes</t>
        </is>
      </c>
    </row>
    <row r="6">
      <c r="A6" s="8" t="inlineStr">
        <is>
          <t>Animalia</t>
        </is>
      </c>
      <c r="B6" s="8" t="inlineStr">
        <is>
          <t>Mollusca</t>
        </is>
      </c>
      <c r="C6" s="8">
        <f>COUNTIFS(Per_sample_inventory!$E$5:$E$180,B6,Per_sample_inventory!$Y$5:$Y$180,"yes")</f>
        <v/>
      </c>
      <c r="D6" s="8" t="n">
        <v>1</v>
      </c>
      <c r="E6" s="8" t="inlineStr">
        <is>
          <t>yes</t>
        </is>
      </c>
    </row>
    <row r="7">
      <c r="A7" s="8" t="inlineStr">
        <is>
          <t>Animalia</t>
        </is>
      </c>
      <c r="B7" s="8" t="inlineStr">
        <is>
          <t>Nematoda</t>
        </is>
      </c>
      <c r="C7" s="8">
        <f>COUNTIFS(Per_sample_inventory!$E$5:$E$180,B7,Per_sample_inventory!$Y$5:$Y$180,"yes")</f>
        <v/>
      </c>
      <c r="D7" s="8" t="n">
        <v>2</v>
      </c>
      <c r="E7" s="8" t="inlineStr">
        <is>
          <t>yes</t>
        </is>
      </c>
    </row>
    <row r="8">
      <c r="A8" s="8" t="inlineStr">
        <is>
          <t>Archaea</t>
        </is>
      </c>
      <c r="B8" s="8" t="inlineStr">
        <is>
          <t>Methanobacteriota</t>
        </is>
      </c>
      <c r="C8" s="8">
        <f>COUNTIFS(Per_sample_inventory!$E$5:$E$180,B8,Per_sample_inventory!$Y$5:$Y$180,"yes")</f>
        <v/>
      </c>
      <c r="D8" s="8" t="n">
        <v>9</v>
      </c>
      <c r="E8" s="8" t="inlineStr">
        <is>
          <t>yes</t>
        </is>
      </c>
    </row>
    <row r="9">
      <c r="A9" s="8" t="inlineStr">
        <is>
          <t>Archaea</t>
        </is>
      </c>
      <c r="B9" s="8" t="inlineStr">
        <is>
          <t>Thermoproteota</t>
        </is>
      </c>
      <c r="C9" s="8">
        <f>COUNTIFS(Per_sample_inventory!$E$5:$E$180,B9,Per_sample_inventory!$Y$5:$Y$180,"yes")</f>
        <v/>
      </c>
      <c r="D9" s="8" t="n">
        <v>1</v>
      </c>
      <c r="E9" s="8" t="inlineStr">
        <is>
          <t>yes</t>
        </is>
      </c>
    </row>
    <row r="10">
      <c r="A10" s="8" t="inlineStr">
        <is>
          <t>Bacteria</t>
        </is>
      </c>
      <c r="B10" s="8" t="inlineStr">
        <is>
          <t>Actinomycetota</t>
        </is>
      </c>
      <c r="C10" s="8">
        <f>COUNTIFS(Per_sample_inventory!$E$5:$E$180,B10,Per_sample_inventory!$Y$5:$Y$180,"yes")</f>
        <v/>
      </c>
      <c r="D10" s="8" t="n">
        <v>6</v>
      </c>
      <c r="E10" s="8" t="inlineStr">
        <is>
          <t>yes</t>
        </is>
      </c>
    </row>
    <row r="11">
      <c r="A11" s="8" t="inlineStr">
        <is>
          <t>Bacteria</t>
        </is>
      </c>
      <c r="B11" s="8" t="inlineStr">
        <is>
          <t>Bacillota</t>
        </is>
      </c>
      <c r="C11" s="8">
        <f>COUNTIFS(Per_sample_inventory!$E$5:$E$180,B11,Per_sample_inventory!$Y$5:$Y$180,"yes")</f>
        <v/>
      </c>
      <c r="D11" s="8" t="n">
        <v>7</v>
      </c>
      <c r="E11" s="8" t="inlineStr">
        <is>
          <t>yes</t>
        </is>
      </c>
    </row>
    <row r="12">
      <c r="A12" s="8" t="inlineStr">
        <is>
          <t>Bacteria</t>
        </is>
      </c>
      <c r="B12" s="8" t="inlineStr">
        <is>
          <t>Cyanobacteriota</t>
        </is>
      </c>
      <c r="C12" s="8">
        <f>COUNTIFS(Per_sample_inventory!$E$5:$E$180,B12,Per_sample_inventory!$Y$5:$Y$180,"yes")</f>
        <v/>
      </c>
      <c r="D12" s="8" t="n">
        <v>2</v>
      </c>
      <c r="E12" s="8" t="inlineStr">
        <is>
          <t>no (n&lt;2)</t>
        </is>
      </c>
    </row>
    <row r="13">
      <c r="A13" s="8" t="inlineStr">
        <is>
          <t>Bacteria</t>
        </is>
      </c>
      <c r="B13" s="8" t="inlineStr">
        <is>
          <t>Pseudomonadota</t>
        </is>
      </c>
      <c r="C13" s="8">
        <f>COUNTIFS(Per_sample_inventory!$E$5:$E$180,B13,Per_sample_inventory!$Y$5:$Y$180,"yes")</f>
        <v/>
      </c>
      <c r="D13" s="8" t="n">
        <v>4</v>
      </c>
      <c r="E13" s="8" t="inlineStr">
        <is>
          <t>yes</t>
        </is>
      </c>
    </row>
    <row r="14">
      <c r="A14" s="8" t="inlineStr">
        <is>
          <t>Fungi</t>
        </is>
      </c>
      <c r="B14" s="8" t="inlineStr">
        <is>
          <t>Ascomycota</t>
        </is>
      </c>
      <c r="C14" s="8">
        <f>COUNTIFS(Per_sample_inventory!$E$5:$E$180,B14,Per_sample_inventory!$Y$5:$Y$180,"yes")</f>
        <v/>
      </c>
      <c r="D14" s="8" t="n">
        <v>22</v>
      </c>
      <c r="E14" s="8" t="inlineStr">
        <is>
          <t>yes</t>
        </is>
      </c>
    </row>
    <row r="15">
      <c r="A15" s="8" t="inlineStr">
        <is>
          <t>Fungi</t>
        </is>
      </c>
      <c r="B15" s="8" t="inlineStr">
        <is>
          <t>Basidiomycota</t>
        </is>
      </c>
      <c r="C15" s="8">
        <f>COUNTIFS(Per_sample_inventory!$E$5:$E$180,B15,Per_sample_inventory!$Y$5:$Y$180,"yes")</f>
        <v/>
      </c>
      <c r="D15" s="8" t="n">
        <v>9</v>
      </c>
      <c r="E15" s="8" t="inlineStr">
        <is>
          <t>yes</t>
        </is>
      </c>
    </row>
    <row r="16">
      <c r="A16" s="8" t="inlineStr">
        <is>
          <t>Fungi</t>
        </is>
      </c>
      <c r="B16" s="8" t="inlineStr">
        <is>
          <t>Mortierellomycota</t>
        </is>
      </c>
      <c r="C16" s="8">
        <f>COUNTIFS(Per_sample_inventory!$E$5:$E$180,B16,Per_sample_inventory!$Y$5:$Y$180,"yes")</f>
        <v/>
      </c>
      <c r="D16" s="8" t="n">
        <v>1</v>
      </c>
      <c r="E16" s="8" t="inlineStr">
        <is>
          <t>no (n&lt;2)</t>
        </is>
      </c>
    </row>
    <row r="17">
      <c r="A17" s="8" t="inlineStr">
        <is>
          <t>Fungi</t>
        </is>
      </c>
      <c r="B17" s="8" t="inlineStr">
        <is>
          <t>Mucoromycota</t>
        </is>
      </c>
      <c r="C17" s="8">
        <f>COUNTIFS(Per_sample_inventory!$E$5:$E$180,B17,Per_sample_inventory!$Y$5:$Y$180,"yes")</f>
        <v/>
      </c>
      <c r="D17" s="8" t="n">
        <v>3</v>
      </c>
      <c r="E17" s="8" t="inlineStr">
        <is>
          <t>yes</t>
        </is>
      </c>
    </row>
    <row r="18">
      <c r="A18" s="8" t="inlineStr">
        <is>
          <t>Protists</t>
        </is>
      </c>
      <c r="B18" s="8" t="inlineStr">
        <is>
          <t>Cercozoa</t>
        </is>
      </c>
      <c r="C18" s="8">
        <f>COUNTIFS(Per_sample_inventory!$E$5:$E$180,B18,Per_sample_inventory!$Y$5:$Y$180,"yes")</f>
        <v/>
      </c>
      <c r="D18" s="8" t="n">
        <v>1</v>
      </c>
      <c r="E18" s="8" t="inlineStr">
        <is>
          <t>no (n&lt;2)</t>
        </is>
      </c>
    </row>
    <row r="19">
      <c r="A19" s="8" t="inlineStr">
        <is>
          <t>Protists</t>
        </is>
      </c>
      <c r="B19" s="8" t="inlineStr">
        <is>
          <t>Discosea</t>
        </is>
      </c>
      <c r="C19" s="8">
        <f>COUNTIFS(Per_sample_inventory!$E$5:$E$180,B19,Per_sample_inventory!$Y$5:$Y$180,"yes")</f>
        <v/>
      </c>
      <c r="D19" s="8" t="n">
        <v>2</v>
      </c>
      <c r="E19" s="8" t="inlineStr">
        <is>
          <t>yes</t>
        </is>
      </c>
    </row>
    <row r="20">
      <c r="A20" s="8" t="inlineStr">
        <is>
          <t>Protists</t>
        </is>
      </c>
      <c r="B20" s="8" t="inlineStr">
        <is>
          <t>Evosea</t>
        </is>
      </c>
      <c r="C20" s="8">
        <f>COUNTIFS(Per_sample_inventory!$E$5:$E$180,B20,Per_sample_inventory!$Y$5:$Y$180,"yes")</f>
        <v/>
      </c>
      <c r="D20" s="8" t="n">
        <v>1</v>
      </c>
      <c r="E20" s="8" t="inlineStr">
        <is>
          <t>yes</t>
        </is>
      </c>
    </row>
    <row r="21">
      <c r="A21" s="8" t="inlineStr">
        <is>
          <t>Protists</t>
        </is>
      </c>
      <c r="B21" s="8" t="inlineStr">
        <is>
          <t>Heterolobosea</t>
        </is>
      </c>
      <c r="C21" s="8">
        <f>COUNTIFS(Per_sample_inventory!$E$5:$E$180,B21,Per_sample_inventory!$Y$5:$Y$180,"yes")</f>
        <v/>
      </c>
      <c r="D21" s="8" t="n">
        <v>1</v>
      </c>
      <c r="E21" s="8" t="inlineStr">
        <is>
          <t>yes</t>
        </is>
      </c>
    </row>
    <row r="22">
      <c r="A22" s="8" t="inlineStr">
        <is>
          <t>Viridiplantae</t>
        </is>
      </c>
      <c r="B22" s="8" t="inlineStr">
        <is>
          <t>Chlorophyta</t>
        </is>
      </c>
      <c r="C22" s="8">
        <f>COUNTIFS(Per_sample_inventory!$E$5:$E$180,B22,Per_sample_inventory!$Y$5:$Y$180,"yes")</f>
        <v/>
      </c>
      <c r="D22" s="8" t="n">
        <v>5</v>
      </c>
      <c r="E22" s="8" t="inlineStr">
        <is>
          <t>yes</t>
        </is>
      </c>
    </row>
    <row r="23">
      <c r="A23" s="8" t="inlineStr">
        <is>
          <t>Viridiplantae</t>
        </is>
      </c>
      <c r="B23" s="8" t="inlineStr">
        <is>
          <t>Streptophyta</t>
        </is>
      </c>
      <c r="C23" s="8">
        <f>COUNTIFS(Per_sample_inventory!$E$5:$E$180,B23,Per_sample_inventory!$Y$5:$Y$180,"yes")</f>
        <v/>
      </c>
      <c r="D23" s="8" t="n">
        <v>14</v>
      </c>
      <c r="E23" s="8" t="inlineStr">
        <is>
          <t>yes</t>
        </is>
      </c>
    </row>
    <row r="24"/>
    <row r="25">
      <c r="A25" s="10" t="inlineStr">
        <is>
          <t>n_samples is a live COUNTIFS against S1a. n_genera is computed from the Genus column (first token, case-normalised) and written as a value - a distinct count has no formula form that evaluates reliably outside Excel.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outlineLevelCol="0"/>
  <cols>
    <col width="112" customWidth="1" min="1" max="1"/>
  </cols>
  <sheetData>
    <row r="1">
      <c r="A1" s="3" t="inlineStr">
        <is>
          <t>Supplementary Table S2. FBMN batch composition (strict release)</t>
        </is>
      </c>
    </row>
    <row r="2">
      <c r="A2" s="4" t="n"/>
    </row>
    <row r="3">
      <c r="A3" s="4" t="inlineStr">
        <is>
          <t>Per-batch sample counts, feature counts, organism composition and GNPS2 task IDs. Positive mode.</t>
        </is>
      </c>
    </row>
    <row r="4">
      <c r="A4" s="4" t="n"/>
    </row>
    <row r="5">
      <c r="A5" s="4" t="inlineStr">
        <is>
          <t>Feature counts are unchanged from the submitted table and were reproduced exactly from the FBMN quantification tables (total 338,878).</t>
        </is>
      </c>
    </row>
    <row r="6">
      <c r="A6" s="4" t="n"/>
    </row>
    <row r="7">
      <c r="A7" s="4" t="inlineStr">
        <is>
          <t>Sample counts were approximations in the submitted table ("~20" ... total "~205"). They are now exact. Two columns are given because the approximations conflated them: all injections assigned to the batch, and biological samples with a valid NCBI phylum ancestor (168 across the six batches).</t>
        </is>
      </c>
    </row>
    <row r="8">
      <c r="A8" s="4" t="n"/>
    </row>
    <row r="9">
      <c r="A9" s="4" t="inlineStr">
        <is>
          <t>The submitted "Primary kingdoms" column mixed taxonomic ranks and used retired labels - Bryophyta, Cyanobacteria, Amoebozoa, and the phyla Bacillota and Actinomycetota listed as kingdoms. It is replaced by two rank-explicit columns taken from the locked release. Organism groups are display summaries; phyla are the analysis units.</t>
        </is>
      </c>
    </row>
    <row r="10">
      <c r="A10" s="4" t="n"/>
    </row>
    <row r="11">
      <c r="A11" s="3" t="inlineStr">
        <is>
          <t>Batch-organism confounding, restated on the strict labels:</t>
        </is>
      </c>
    </row>
    <row r="12">
      <c r="A12" s="4" t="inlineStr">
        <is>
          <t xml:space="preserve">  Animalia is confined to a single batch: all 17 animal samples are in batch_03_OE23-POS.</t>
        </is>
      </c>
    </row>
    <row r="13">
      <c r="A13" s="4" t="inlineStr">
        <is>
          <t xml:space="preserve">  Protists occur in only two batches: batch_05_OE25-1-ALL (12), batch_04_OE26-1POS (6).</t>
        </is>
      </c>
    </row>
    <row r="14">
      <c r="A14" s="4" t="inlineStr">
        <is>
          <t xml:space="preserve">  batch_06_ALL-25-2 is taxonomically homogeneous: Bacteria 27 - it contains no eukaryotes at all.</t>
        </is>
      </c>
    </row>
    <row r="15">
      <c r="A15" s="4" t="inlineStr">
        <is>
          <t xml:space="preserve">  Viral samples (n=2) were acquired in batch 06 but are excluded from the study scope by author instruction, so they do not appear in the counts above.</t>
        </is>
      </c>
    </row>
    <row r="16">
      <c r="A16" s="4" t="n"/>
    </row>
    <row r="17">
      <c r="A17" s="4" t="inlineStr">
        <is>
          <t>Sheet 'Batch_by_phylum' gives the full batch x phylum matrix so the confounding can be assessed directly.</t>
        </is>
      </c>
    </row>
    <row r="18">
      <c r="A18" s="4" t="n"/>
    </row>
    <row r="19">
      <c r="A19" s="4" t="inlineStr">
        <is>
          <t>Taxonomy release: ncbi-phylum-2026-08-04-v1 (locked). Producer: paper2_repro/scripts/build_table_s2_strict16.py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outlineLevelCol="0"/>
  <cols>
    <col width="10" customWidth="1" min="1" max="1"/>
    <col width="14" customWidth="1" min="2" max="2"/>
    <col width="26" customWidth="1" min="3" max="3"/>
    <col width="22" customWidth="1" min="4" max="4"/>
    <col width="14" customWidth="1" min="5" max="5"/>
    <col width="46" customWidth="1" min="6" max="6"/>
    <col width="46" customWidth="1" min="7" max="7"/>
    <col width="34" customWidth="1" min="8" max="8"/>
  </cols>
  <sheetData>
    <row r="1">
      <c r="A1" s="5" t="inlineStr">
        <is>
          <t>Supplementary Table S2. FBMN batch composition</t>
        </is>
      </c>
    </row>
    <row r="2">
      <c r="A2" s="6" t="inlineStr">
        <is>
          <t>Sample counts exact; feature counts reproduced from the quantification tables.</t>
        </is>
      </c>
    </row>
    <row r="3"/>
    <row r="4">
      <c r="A4" s="7" t="inlineStr">
        <is>
          <t>Batch</t>
        </is>
      </c>
      <c r="B4" s="7" t="inlineStr">
        <is>
          <t>Name</t>
        </is>
      </c>
      <c r="C4" s="7" t="inlineStr">
        <is>
          <t>Samples (all injections)</t>
        </is>
      </c>
      <c r="D4" s="7" t="inlineStr">
        <is>
          <t>Samples (biological)</t>
        </is>
      </c>
      <c r="E4" s="7" t="inlineStr">
        <is>
          <t>Features</t>
        </is>
      </c>
      <c r="F4" s="7" t="inlineStr">
        <is>
          <t>Organism groups (n)</t>
        </is>
      </c>
      <c r="G4" s="7" t="inlineStr">
        <is>
          <t>Phyla, strict release (n)</t>
        </is>
      </c>
      <c r="H4" s="7" t="inlineStr">
        <is>
          <t>GNPS2 task ID</t>
        </is>
      </c>
    </row>
    <row r="5">
      <c r="A5" s="11" t="inlineStr">
        <is>
          <t>01</t>
        </is>
      </c>
      <c r="B5" s="11" t="inlineStr">
        <is>
          <t>OE11-3-POS</t>
        </is>
      </c>
      <c r="C5" s="11" t="n">
        <v>18</v>
      </c>
      <c r="D5" s="11" t="n">
        <v>15</v>
      </c>
      <c r="E5" s="11" t="n">
        <v>40936</v>
      </c>
      <c r="F5" s="11" t="inlineStr">
        <is>
          <t>Viridiplantae 5, Fungi 4, Archaea 3, Bacteria 3</t>
        </is>
      </c>
      <c r="G5" s="11" t="inlineStr">
        <is>
          <t>Streptophyta 5, Actinomycetota 3, Methanobacteriota 3, Mucoromycota 2, Basidiomycota 1, Ascomycota 1</t>
        </is>
      </c>
      <c r="H5" s="11" t="inlineStr">
        <is>
          <t>57a91e57a53f4ab7ac5ccd69fbab2c4e</t>
        </is>
      </c>
    </row>
    <row r="6">
      <c r="A6" s="11" t="inlineStr">
        <is>
          <t>02</t>
        </is>
      </c>
      <c r="B6" s="11" t="inlineStr">
        <is>
          <t>OE21-4-POS</t>
        </is>
      </c>
      <c r="C6" s="11" t="n">
        <v>53</v>
      </c>
      <c r="D6" s="11" t="n">
        <v>40</v>
      </c>
      <c r="E6" s="11" t="n">
        <v>84347</v>
      </c>
      <c r="F6" s="11" t="inlineStr">
        <is>
          <t>Fungi 15, Bacteria 10, Archaea 8, Viridiplantae 7</t>
        </is>
      </c>
      <c r="G6" s="11" t="inlineStr">
        <is>
          <t>Ascomycota 9, Streptophyta 7, Basidiomycota 6, Bacillota 5, Methanobacteriota 5, Actinomycetota 5, Thermoproteota 3</t>
        </is>
      </c>
      <c r="H6" s="11" t="inlineStr">
        <is>
          <t>8e0f0e314b814193b42bbcca4af86982</t>
        </is>
      </c>
    </row>
    <row r="7">
      <c r="A7" s="11" t="inlineStr">
        <is>
          <t>03</t>
        </is>
      </c>
      <c r="B7" s="11" t="inlineStr">
        <is>
          <t>OE23-POS</t>
        </is>
      </c>
      <c r="C7" s="11" t="n">
        <v>28</v>
      </c>
      <c r="D7" s="11" t="n">
        <v>26</v>
      </c>
      <c r="E7" s="11" t="n">
        <v>89731</v>
      </c>
      <c r="F7" s="11" t="inlineStr">
        <is>
          <t>Animalia 17, Viridiplantae 7, Bacteria 2</t>
        </is>
      </c>
      <c r="G7" s="11" t="inlineStr">
        <is>
          <t>Arthropoda 11, Chlorophyta 5, Nematoda 4, Mollusca 2, Cyanobacteriota 2, Streptophyta 2</t>
        </is>
      </c>
      <c r="H7" s="11" t="inlineStr">
        <is>
          <t>bb4fd387ab584c32bae96e74a00b0b08</t>
        </is>
      </c>
    </row>
    <row r="8">
      <c r="A8" s="11" t="inlineStr">
        <is>
          <t>04</t>
        </is>
      </c>
      <c r="B8" s="11" t="inlineStr">
        <is>
          <t>OE26-1POS</t>
        </is>
      </c>
      <c r="C8" s="11" t="n">
        <v>48</v>
      </c>
      <c r="D8" s="11" t="n">
        <v>44</v>
      </c>
      <c r="E8" s="11" t="n">
        <v>43206</v>
      </c>
      <c r="F8" s="11" t="inlineStr">
        <is>
          <t>Fungi 26, Archaea 8, Protists 6, Bacteria 4</t>
        </is>
      </c>
      <c r="G8" s="11" t="inlineStr">
        <is>
          <t>Ascomycota 17, Methanobacteriota 8, Mucoromycota 5, Discosea 4, Basidiomycota 3, Pseudomonadota 3, Actinomycetota 1, Mortierellomycota 1, Heterolobosea 1, Cercozoa 1</t>
        </is>
      </c>
      <c r="H8" s="11" t="inlineStr">
        <is>
          <t>26e41456c73f457cbfd6d471b207f37a</t>
        </is>
      </c>
    </row>
    <row r="9">
      <c r="A9" s="11" t="inlineStr">
        <is>
          <t>05</t>
        </is>
      </c>
      <c r="B9" s="11" t="inlineStr">
        <is>
          <t>OE25-1-ALL</t>
        </is>
      </c>
      <c r="C9" s="11" t="n">
        <v>18</v>
      </c>
      <c r="D9" s="11" t="n">
        <v>16</v>
      </c>
      <c r="E9" s="11" t="n">
        <v>20424</v>
      </c>
      <c r="F9" s="11" t="inlineStr">
        <is>
          <t>Protists 12, Bacteria 4</t>
        </is>
      </c>
      <c r="G9" s="11" t="inlineStr">
        <is>
          <t>Evosea 5, Heterolobosea 4, Discosea 3, Pseudomonadota 3, Bacillota 1</t>
        </is>
      </c>
      <c r="H9" s="11" t="inlineStr">
        <is>
          <t>5f9c17db47c94bcda93ea3cd12ac1b64</t>
        </is>
      </c>
    </row>
    <row r="10">
      <c r="A10" s="11" t="inlineStr">
        <is>
          <t>06</t>
        </is>
      </c>
      <c r="B10" s="11" t="inlineStr">
        <is>
          <t>ALL-25-2-POS</t>
        </is>
      </c>
      <c r="C10" s="11" t="n">
        <v>54</v>
      </c>
      <c r="D10" s="11" t="n">
        <v>27</v>
      </c>
      <c r="E10" s="11" t="n">
        <v>60234</v>
      </c>
      <c r="F10" s="11" t="inlineStr">
        <is>
          <t>Bacteria 27</t>
        </is>
      </c>
      <c r="G10" s="11" t="inlineStr">
        <is>
          <t>Bacillota 19, Actinomycetota 6, Pseudomonadota 2</t>
        </is>
      </c>
      <c r="H10" s="11" t="inlineStr">
        <is>
          <t>9f8b16574b08468f88acf4eca84d2805</t>
        </is>
      </c>
    </row>
    <row r="11">
      <c r="A11" s="12" t="inlineStr">
        <is>
          <t>Total</t>
        </is>
      </c>
      <c r="B11" s="11" t="n"/>
      <c r="C11" s="12">
        <f>SUM(C5:C10)</f>
        <v/>
      </c>
      <c r="D11" s="12">
        <f>SUM(D5:D10)</f>
        <v/>
      </c>
      <c r="E11" s="12">
        <f>SUM(E5:E10)</f>
        <v/>
      </c>
      <c r="F11" s="11" t="n"/>
      <c r="G11" s="11" t="n"/>
      <c r="H11" s="1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outlineLevelCol="0"/>
  <cols>
    <col width="21" customWidth="1" min="1" max="1"/>
    <col width="16" customWidth="1" min="2" max="2"/>
    <col width="12" customWidth="1" min="3" max="3"/>
    <col width="12" customWidth="1" min="4" max="4"/>
    <col width="11" customWidth="1" min="5" max="5"/>
    <col width="15" customWidth="1" min="6" max="6"/>
    <col width="10" customWidth="1" min="7" max="7"/>
    <col width="13" customWidth="1" min="8" max="8"/>
    <col width="17" customWidth="1" min="9" max="9"/>
    <col width="10" customWidth="1" min="10" max="10"/>
    <col width="10" customWidth="1" min="11" max="11"/>
    <col width="15" customWidth="1" min="12" max="12"/>
    <col width="19" customWidth="1" min="13" max="13"/>
    <col width="10" customWidth="1" min="14" max="14"/>
    <col width="19" customWidth="1" min="15" max="15"/>
    <col width="14" customWidth="1" min="16" max="16"/>
    <col width="10" customWidth="1" min="17" max="17"/>
    <col width="16" customWidth="1" min="18" max="18"/>
    <col width="14" customWidth="1" min="19" max="19"/>
    <col width="16" customWidth="1" min="20" max="20"/>
  </cols>
  <sheetData>
    <row r="1">
      <c r="A1" s="5" t="inlineStr">
        <is>
          <t>Supplementary Table S2b. Batch x phylum matrix (biological samples)</t>
        </is>
      </c>
    </row>
    <row r="2">
      <c r="A2" s="6" t="inlineStr">
        <is>
          <t>Counts of core-candidate samples per strict phylum.</t>
        </is>
      </c>
    </row>
    <row r="3"/>
    <row r="4">
      <c r="A4" s="7" t="inlineStr">
        <is>
          <t>Batch</t>
        </is>
      </c>
      <c r="B4" s="7" t="inlineStr">
        <is>
          <t>Actinomycetota</t>
        </is>
      </c>
      <c r="C4" s="7" t="inlineStr">
        <is>
          <t>Arthropoda</t>
        </is>
      </c>
      <c r="D4" s="7" t="inlineStr">
        <is>
          <t>Ascomycota</t>
        </is>
      </c>
      <c r="E4" s="7" t="inlineStr">
        <is>
          <t>Bacillota</t>
        </is>
      </c>
      <c r="F4" s="7" t="inlineStr">
        <is>
          <t>Basidiomycota</t>
        </is>
      </c>
      <c r="G4" s="7" t="inlineStr">
        <is>
          <t>Cercozoa</t>
        </is>
      </c>
      <c r="H4" s="7" t="inlineStr">
        <is>
          <t>Chlorophyta</t>
        </is>
      </c>
      <c r="I4" s="7" t="inlineStr">
        <is>
          <t>Cyanobacteriota</t>
        </is>
      </c>
      <c r="J4" s="7" t="inlineStr">
        <is>
          <t>Discosea</t>
        </is>
      </c>
      <c r="K4" s="7" t="inlineStr">
        <is>
          <t>Evosea</t>
        </is>
      </c>
      <c r="L4" s="7" t="inlineStr">
        <is>
          <t>Heterolobosea</t>
        </is>
      </c>
      <c r="M4" s="7" t="inlineStr">
        <is>
          <t>Methanobacteriota</t>
        </is>
      </c>
      <c r="N4" s="7" t="inlineStr">
        <is>
          <t>Mollusca</t>
        </is>
      </c>
      <c r="O4" s="7" t="inlineStr">
        <is>
          <t>Mortierellomycota</t>
        </is>
      </c>
      <c r="P4" s="7" t="inlineStr">
        <is>
          <t>Mucoromycota</t>
        </is>
      </c>
      <c r="Q4" s="7" t="inlineStr">
        <is>
          <t>Nematoda</t>
        </is>
      </c>
      <c r="R4" s="7" t="inlineStr">
        <is>
          <t>Pseudomonadota</t>
        </is>
      </c>
      <c r="S4" s="7" t="inlineStr">
        <is>
          <t>Streptophyta</t>
        </is>
      </c>
      <c r="T4" s="7" t="inlineStr">
        <is>
          <t>Thermoproteota</t>
        </is>
      </c>
    </row>
    <row r="5">
      <c r="A5" s="11" t="inlineStr">
        <is>
          <t>batch_01_OE11-3-POS</t>
        </is>
      </c>
      <c r="B5" s="11" t="n">
        <v>3</v>
      </c>
      <c r="C5" s="11" t="n">
        <v>0</v>
      </c>
      <c r="D5" s="11" t="n">
        <v>1</v>
      </c>
      <c r="E5" s="11" t="n">
        <v>0</v>
      </c>
      <c r="F5" s="11" t="n">
        <v>1</v>
      </c>
      <c r="G5" s="11" t="n">
        <v>0</v>
      </c>
      <c r="H5" s="11" t="n">
        <v>0</v>
      </c>
      <c r="I5" s="11" t="n">
        <v>0</v>
      </c>
      <c r="J5" s="11" t="n">
        <v>0</v>
      </c>
      <c r="K5" s="11" t="n">
        <v>0</v>
      </c>
      <c r="L5" s="11" t="n">
        <v>0</v>
      </c>
      <c r="M5" s="11" t="n">
        <v>3</v>
      </c>
      <c r="N5" s="11" t="n">
        <v>0</v>
      </c>
      <c r="O5" s="11" t="n">
        <v>0</v>
      </c>
      <c r="P5" s="11" t="n">
        <v>2</v>
      </c>
      <c r="Q5" s="11" t="n">
        <v>0</v>
      </c>
      <c r="R5" s="11" t="n">
        <v>0</v>
      </c>
      <c r="S5" s="11" t="n">
        <v>5</v>
      </c>
      <c r="T5" s="11" t="n">
        <v>0</v>
      </c>
    </row>
    <row r="6">
      <c r="A6" s="11" t="inlineStr">
        <is>
          <t>batch_02_OE21-4-POS</t>
        </is>
      </c>
      <c r="B6" s="11" t="n">
        <v>5</v>
      </c>
      <c r="C6" s="11" t="n">
        <v>0</v>
      </c>
      <c r="D6" s="11" t="n">
        <v>9</v>
      </c>
      <c r="E6" s="11" t="n">
        <v>5</v>
      </c>
      <c r="F6" s="11" t="n">
        <v>6</v>
      </c>
      <c r="G6" s="11" t="n">
        <v>0</v>
      </c>
      <c r="H6" s="11" t="n">
        <v>0</v>
      </c>
      <c r="I6" s="11" t="n">
        <v>0</v>
      </c>
      <c r="J6" s="11" t="n">
        <v>0</v>
      </c>
      <c r="K6" s="11" t="n">
        <v>0</v>
      </c>
      <c r="L6" s="11" t="n">
        <v>0</v>
      </c>
      <c r="M6" s="11" t="n">
        <v>5</v>
      </c>
      <c r="N6" s="11" t="n">
        <v>0</v>
      </c>
      <c r="O6" s="11" t="n">
        <v>0</v>
      </c>
      <c r="P6" s="11" t="n">
        <v>0</v>
      </c>
      <c r="Q6" s="11" t="n">
        <v>0</v>
      </c>
      <c r="R6" s="11" t="n">
        <v>0</v>
      </c>
      <c r="S6" s="11" t="n">
        <v>7</v>
      </c>
      <c r="T6" s="11" t="n">
        <v>3</v>
      </c>
    </row>
    <row r="7">
      <c r="A7" s="11" t="inlineStr">
        <is>
          <t>batch_03_OE23-POS</t>
        </is>
      </c>
      <c r="B7" s="11" t="n">
        <v>0</v>
      </c>
      <c r="C7" s="11" t="n">
        <v>11</v>
      </c>
      <c r="D7" s="11" t="n">
        <v>0</v>
      </c>
      <c r="E7" s="11" t="n">
        <v>0</v>
      </c>
      <c r="F7" s="11" t="n">
        <v>0</v>
      </c>
      <c r="G7" s="11" t="n">
        <v>0</v>
      </c>
      <c r="H7" s="11" t="n">
        <v>5</v>
      </c>
      <c r="I7" s="11" t="n">
        <v>2</v>
      </c>
      <c r="J7" s="11" t="n">
        <v>0</v>
      </c>
      <c r="K7" s="11" t="n">
        <v>0</v>
      </c>
      <c r="L7" s="11" t="n">
        <v>0</v>
      </c>
      <c r="M7" s="11" t="n">
        <v>0</v>
      </c>
      <c r="N7" s="11" t="n">
        <v>2</v>
      </c>
      <c r="O7" s="11" t="n">
        <v>0</v>
      </c>
      <c r="P7" s="11" t="n">
        <v>0</v>
      </c>
      <c r="Q7" s="11" t="n">
        <v>4</v>
      </c>
      <c r="R7" s="11" t="n">
        <v>0</v>
      </c>
      <c r="S7" s="11" t="n">
        <v>2</v>
      </c>
      <c r="T7" s="11" t="n">
        <v>0</v>
      </c>
    </row>
    <row r="8">
      <c r="A8" s="11" t="inlineStr">
        <is>
          <t>batch_04_OE26-1POS</t>
        </is>
      </c>
      <c r="B8" s="11" t="n">
        <v>1</v>
      </c>
      <c r="C8" s="11" t="n">
        <v>0</v>
      </c>
      <c r="D8" s="11" t="n">
        <v>17</v>
      </c>
      <c r="E8" s="11" t="n">
        <v>0</v>
      </c>
      <c r="F8" s="11" t="n">
        <v>3</v>
      </c>
      <c r="G8" s="11" t="n">
        <v>1</v>
      </c>
      <c r="H8" s="11" t="n">
        <v>0</v>
      </c>
      <c r="I8" s="11" t="n">
        <v>0</v>
      </c>
      <c r="J8" s="11" t="n">
        <v>4</v>
      </c>
      <c r="K8" s="11" t="n">
        <v>0</v>
      </c>
      <c r="L8" s="11" t="n">
        <v>1</v>
      </c>
      <c r="M8" s="11" t="n">
        <v>8</v>
      </c>
      <c r="N8" s="11" t="n">
        <v>0</v>
      </c>
      <c r="O8" s="11" t="n">
        <v>1</v>
      </c>
      <c r="P8" s="11" t="n">
        <v>5</v>
      </c>
      <c r="Q8" s="11" t="n">
        <v>0</v>
      </c>
      <c r="R8" s="11" t="n">
        <v>3</v>
      </c>
      <c r="S8" s="11" t="n">
        <v>0</v>
      </c>
      <c r="T8" s="11" t="n">
        <v>0</v>
      </c>
    </row>
    <row r="9">
      <c r="A9" s="11" t="inlineStr">
        <is>
          <t>batch_05_OE25-1-ALL</t>
        </is>
      </c>
      <c r="B9" s="11" t="n">
        <v>0</v>
      </c>
      <c r="C9" s="11" t="n">
        <v>0</v>
      </c>
      <c r="D9" s="11" t="n">
        <v>0</v>
      </c>
      <c r="E9" s="11" t="n">
        <v>1</v>
      </c>
      <c r="F9" s="11" t="n">
        <v>0</v>
      </c>
      <c r="G9" s="11" t="n">
        <v>0</v>
      </c>
      <c r="H9" s="11" t="n">
        <v>0</v>
      </c>
      <c r="I9" s="11" t="n">
        <v>0</v>
      </c>
      <c r="J9" s="11" t="n">
        <v>3</v>
      </c>
      <c r="K9" s="11" t="n">
        <v>5</v>
      </c>
      <c r="L9" s="11" t="n">
        <v>4</v>
      </c>
      <c r="M9" s="11" t="n">
        <v>0</v>
      </c>
      <c r="N9" s="11" t="n">
        <v>0</v>
      </c>
      <c r="O9" s="11" t="n">
        <v>0</v>
      </c>
      <c r="P9" s="11" t="n">
        <v>0</v>
      </c>
      <c r="Q9" s="11" t="n">
        <v>0</v>
      </c>
      <c r="R9" s="11" t="n">
        <v>3</v>
      </c>
      <c r="S9" s="11" t="n">
        <v>0</v>
      </c>
      <c r="T9" s="11" t="n">
        <v>0</v>
      </c>
    </row>
    <row r="10">
      <c r="A10" s="11" t="inlineStr">
        <is>
          <t>batch_06_ALL-25-2</t>
        </is>
      </c>
      <c r="B10" s="11" t="n">
        <v>6</v>
      </c>
      <c r="C10" s="11" t="n">
        <v>0</v>
      </c>
      <c r="D10" s="11" t="n">
        <v>0</v>
      </c>
      <c r="E10" s="11" t="n">
        <v>19</v>
      </c>
      <c r="F10" s="11" t="n">
        <v>0</v>
      </c>
      <c r="G10" s="11" t="n">
        <v>0</v>
      </c>
      <c r="H10" s="11" t="n">
        <v>0</v>
      </c>
      <c r="I10" s="11" t="n">
        <v>0</v>
      </c>
      <c r="J10" s="11" t="n">
        <v>0</v>
      </c>
      <c r="K10" s="11" t="n">
        <v>0</v>
      </c>
      <c r="L10" s="11" t="n">
        <v>0</v>
      </c>
      <c r="M10" s="11" t="n">
        <v>0</v>
      </c>
      <c r="N10" s="11" t="n">
        <v>0</v>
      </c>
      <c r="O10" s="11" t="n">
        <v>0</v>
      </c>
      <c r="P10" s="11" t="n">
        <v>0</v>
      </c>
      <c r="Q10" s="11" t="n">
        <v>0</v>
      </c>
      <c r="R10" s="11" t="n">
        <v>2</v>
      </c>
      <c r="S10" s="11" t="n">
        <v>0</v>
      </c>
      <c r="T10" s="11"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outlineLevelCol="0"/>
  <cols>
    <col width="20" customWidth="1" min="1" max="1"/>
    <col width="22" customWidth="1" min="2" max="2"/>
    <col width="34" customWidth="1" min="3" max="3"/>
    <col width="20" customWidth="1" min="4" max="4"/>
  </cols>
  <sheetData>
    <row r="1" ht="15" customHeight="1">
      <c r="A1" s="13" t="inlineStr">
        <is>
          <t>lipid_class</t>
        </is>
      </c>
      <c r="B1" s="13" t="inlineStr">
        <is>
          <t>type</t>
        </is>
      </c>
      <c r="C1" s="13" t="inlineStr">
        <is>
          <t>ion_name</t>
        </is>
      </c>
      <c r="D1" s="13" t="inlineStr">
        <is>
          <t>m_z_or_neutral_loss</t>
        </is>
      </c>
    </row>
    <row r="2" ht="15" customHeight="1">
      <c r="A2" s="14" t="inlineStr">
        <is>
          <t>Phospholipid</t>
        </is>
      </c>
      <c r="B2" s="14" t="inlineStr">
        <is>
          <t>fragment</t>
        </is>
      </c>
      <c r="C2" s="14" t="inlineStr">
        <is>
          <t>Phosphocholine_C5H13NO4P</t>
        </is>
      </c>
      <c r="D2" s="14" t="inlineStr">
        <is>
          <t>184.0733</t>
        </is>
      </c>
    </row>
    <row r="3" ht="15" customHeight="1">
      <c r="A3" s="14" t="inlineStr">
        <is>
          <t>PE</t>
        </is>
      </c>
      <c r="B3" s="14" t="inlineStr">
        <is>
          <t>fragment</t>
        </is>
      </c>
      <c r="C3" s="14" t="inlineStr">
        <is>
          <t>Glycerophosphoethanolamine</t>
        </is>
      </c>
      <c r="D3" s="14" t="inlineStr">
        <is>
          <t>196.038</t>
        </is>
      </c>
    </row>
    <row r="4" ht="15" customHeight="1">
      <c r="A4" s="14" t="inlineStr">
        <is>
          <t>PG</t>
        </is>
      </c>
      <c r="B4" s="14" t="inlineStr">
        <is>
          <t>fragment</t>
        </is>
      </c>
      <c r="C4" s="14" t="inlineStr">
        <is>
          <t>Glycerophosphoglycerol</t>
        </is>
      </c>
      <c r="D4" s="14" t="inlineStr">
        <is>
          <t>171.0058</t>
        </is>
      </c>
    </row>
    <row r="5" ht="15" customHeight="1">
      <c r="A5" s="14" t="inlineStr">
        <is>
          <t>PG</t>
        </is>
      </c>
      <c r="B5" s="14" t="inlineStr">
        <is>
          <t>fragment</t>
        </is>
      </c>
      <c r="C5" s="14" t="inlineStr">
        <is>
          <t>Glycerophosphoglycerol-H2O</t>
        </is>
      </c>
      <c r="D5" s="14" t="inlineStr">
        <is>
          <t>152.9953</t>
        </is>
      </c>
    </row>
    <row r="6" ht="15" customHeight="1">
      <c r="A6" s="14" t="inlineStr">
        <is>
          <t>PI</t>
        </is>
      </c>
      <c r="B6" s="14" t="inlineStr">
        <is>
          <t>fragment</t>
        </is>
      </c>
      <c r="C6" s="14" t="inlineStr">
        <is>
          <t>Glycerophosphoinositol</t>
        </is>
      </c>
      <c r="D6" s="14" t="inlineStr">
        <is>
          <t>241.0119</t>
        </is>
      </c>
    </row>
    <row r="7" ht="15" customHeight="1">
      <c r="A7" s="14" t="inlineStr">
        <is>
          <t>Sphingolipid</t>
        </is>
      </c>
      <c r="B7" s="14" t="inlineStr">
        <is>
          <t>fragment</t>
        </is>
      </c>
      <c r="C7" s="14" t="inlineStr">
        <is>
          <t>Sphingoid_d18:1</t>
        </is>
      </c>
      <c r="D7" s="14" t="inlineStr">
        <is>
          <t>264.2686</t>
        </is>
      </c>
    </row>
    <row r="8" ht="15" customHeight="1">
      <c r="A8" s="14" t="inlineStr">
        <is>
          <t>Sphingolipid</t>
        </is>
      </c>
      <c r="B8" s="14" t="inlineStr">
        <is>
          <t>fragment</t>
        </is>
      </c>
      <c r="C8" s="14" t="inlineStr">
        <is>
          <t>Sphingoid_d18:1+H2O</t>
        </is>
      </c>
      <c r="D8" s="14" t="inlineStr">
        <is>
          <t>282.2791</t>
        </is>
      </c>
    </row>
    <row r="9" ht="15" customHeight="1">
      <c r="A9" s="14" t="inlineStr">
        <is>
          <t>Sphingolipid</t>
        </is>
      </c>
      <c r="B9" s="14" t="inlineStr">
        <is>
          <t>fragment</t>
        </is>
      </c>
      <c r="C9" s="14" t="inlineStr">
        <is>
          <t>Sphingoid_d18:0</t>
        </is>
      </c>
      <c r="D9" s="14" t="inlineStr">
        <is>
          <t>252.2686</t>
        </is>
      </c>
    </row>
    <row r="10" ht="15" customHeight="1">
      <c r="A10" s="14" t="inlineStr">
        <is>
          <t>Betaine_Lipid</t>
        </is>
      </c>
      <c r="B10" s="14" t="inlineStr">
        <is>
          <t>fragment</t>
        </is>
      </c>
      <c r="C10" s="14" t="inlineStr">
        <is>
          <t>DGTS_headgroup</t>
        </is>
      </c>
      <c r="D10" s="14" t="inlineStr">
        <is>
          <t>236.1492</t>
        </is>
      </c>
    </row>
    <row r="11" ht="15" customHeight="1">
      <c r="A11" s="14" t="inlineStr">
        <is>
          <t>Sterol</t>
        </is>
      </c>
      <c r="B11" s="14" t="inlineStr">
        <is>
          <t>fragment</t>
        </is>
      </c>
      <c r="C11" s="14" t="inlineStr">
        <is>
          <t>Cholesterol_-H2O</t>
        </is>
      </c>
      <c r="D11" s="14" t="inlineStr">
        <is>
          <t>369.3516</t>
        </is>
      </c>
    </row>
    <row r="12" ht="15" customHeight="1">
      <c r="A12" s="14" t="inlineStr">
        <is>
          <t>Sterol</t>
        </is>
      </c>
      <c r="B12" s="14" t="inlineStr">
        <is>
          <t>fragment</t>
        </is>
      </c>
      <c r="C12" s="14" t="inlineStr">
        <is>
          <t>Campesterol_-H2O</t>
        </is>
      </c>
      <c r="D12" s="14" t="inlineStr">
        <is>
          <t>383.3672</t>
        </is>
      </c>
    </row>
    <row r="13" ht="15" customHeight="1">
      <c r="A13" s="14" t="inlineStr">
        <is>
          <t>Sterol</t>
        </is>
      </c>
      <c r="B13" s="14" t="inlineStr">
        <is>
          <t>fragment</t>
        </is>
      </c>
      <c r="C13" s="14" t="inlineStr">
        <is>
          <t>Stigmasterol_-H2O</t>
        </is>
      </c>
      <c r="D13" s="14" t="inlineStr">
        <is>
          <t>395.3672</t>
        </is>
      </c>
    </row>
    <row r="14" ht="15" customHeight="1">
      <c r="A14" s="14" t="inlineStr">
        <is>
          <t>Sterol</t>
        </is>
      </c>
      <c r="B14" s="14" t="inlineStr">
        <is>
          <t>fragment</t>
        </is>
      </c>
      <c r="C14" s="14" t="inlineStr">
        <is>
          <t>Sitosterol_-H2O</t>
        </is>
      </c>
      <c r="D14" s="14" t="inlineStr">
        <is>
          <t>397.3829</t>
        </is>
      </c>
    </row>
    <row r="15" ht="15" customHeight="1">
      <c r="A15" s="14" t="inlineStr">
        <is>
          <t>Archaeal_Lipid</t>
        </is>
      </c>
      <c r="B15" s="14" t="inlineStr">
        <is>
          <t>fragment</t>
        </is>
      </c>
      <c r="C15" s="14" t="inlineStr">
        <is>
          <t>GDGT_core</t>
        </is>
      </c>
      <c r="D15" s="14" t="inlineStr">
        <is>
          <t>653.5727</t>
        </is>
      </c>
    </row>
    <row r="16" ht="15" customHeight="1">
      <c r="A16" s="14" t="inlineStr">
        <is>
          <t>Archaeal_Lipid</t>
        </is>
      </c>
      <c r="B16" s="14" t="inlineStr">
        <is>
          <t>fragment</t>
        </is>
      </c>
      <c r="C16" s="14" t="inlineStr">
        <is>
          <t>GDGT_fragment</t>
        </is>
      </c>
      <c r="D16" s="14" t="inlineStr">
        <is>
          <t>743.6196</t>
        </is>
      </c>
    </row>
    <row r="17" ht="15" customHeight="1">
      <c r="A17" s="14" t="inlineStr">
        <is>
          <t>Archaeal_Lipid</t>
        </is>
      </c>
      <c r="B17" s="14" t="inlineStr">
        <is>
          <t>fragment</t>
        </is>
      </c>
      <c r="C17" s="14" t="inlineStr">
        <is>
          <t>Archaeol_fragment</t>
        </is>
      </c>
      <c r="D17" s="14" t="inlineStr">
        <is>
          <t>373.3672</t>
        </is>
      </c>
    </row>
    <row r="18" ht="15" customHeight="1">
      <c r="A18" s="14" t="inlineStr">
        <is>
          <t>Archaeal_Lipid</t>
        </is>
      </c>
      <c r="B18" s="14" t="inlineStr">
        <is>
          <t>fragment</t>
        </is>
      </c>
      <c r="C18" s="14" t="inlineStr">
        <is>
          <t>Archaeol_core</t>
        </is>
      </c>
      <c r="D18" s="14" t="inlineStr">
        <is>
          <t>595.531</t>
        </is>
      </c>
    </row>
    <row r="19" ht="15" customHeight="1">
      <c r="A19" s="14" t="inlineStr">
        <is>
          <t>Archaeal_Lipid</t>
        </is>
      </c>
      <c r="B19" s="14" t="inlineStr">
        <is>
          <t>fragment</t>
        </is>
      </c>
      <c r="C19" s="14" t="inlineStr">
        <is>
          <t>GDGT_variant</t>
        </is>
      </c>
      <c r="D19" s="14" t="inlineStr">
        <is>
          <t>669.5676</t>
        </is>
      </c>
    </row>
    <row r="20" ht="15" customHeight="1">
      <c r="A20" s="14" t="inlineStr">
        <is>
          <t>Quinone</t>
        </is>
      </c>
      <c r="B20" s="14" t="inlineStr">
        <is>
          <t>fragment</t>
        </is>
      </c>
      <c r="C20" s="14" t="inlineStr">
        <is>
          <t>Ubiquinone_headgroup</t>
        </is>
      </c>
      <c r="D20" s="14" t="inlineStr">
        <is>
          <t>197.0808</t>
        </is>
      </c>
    </row>
    <row r="21" ht="15" customHeight="1">
      <c r="A21" s="14" t="inlineStr">
        <is>
          <t>Glycolipid</t>
        </is>
      </c>
      <c r="B21" s="14" t="inlineStr">
        <is>
          <t>fragment</t>
        </is>
      </c>
      <c r="C21" s="14" t="inlineStr">
        <is>
          <t>Hexose_fragment</t>
        </is>
      </c>
      <c r="D21" s="14" t="inlineStr">
        <is>
          <t>243.0863</t>
        </is>
      </c>
    </row>
    <row r="22" ht="15" customHeight="1">
      <c r="A22" s="14" t="inlineStr">
        <is>
          <t>Glycolipid</t>
        </is>
      </c>
      <c r="B22" s="14" t="inlineStr">
        <is>
          <t>fragment</t>
        </is>
      </c>
      <c r="C22" s="14" t="inlineStr">
        <is>
          <t>Hexose-H2O</t>
        </is>
      </c>
      <c r="D22" s="14" t="inlineStr">
        <is>
          <t>225.0757</t>
        </is>
      </c>
    </row>
    <row r="23" ht="15" customHeight="1">
      <c r="A23" s="14" t="inlineStr">
        <is>
          <t>Hopanoid</t>
        </is>
      </c>
      <c r="B23" s="14" t="inlineStr">
        <is>
          <t>fragment</t>
        </is>
      </c>
      <c r="C23" s="14" t="inlineStr">
        <is>
          <t>Hopane_skeleton</t>
        </is>
      </c>
      <c r="D23" s="14" t="inlineStr">
        <is>
          <t>191.1794</t>
        </is>
      </c>
    </row>
    <row r="24" ht="15" customHeight="1">
      <c r="A24" s="14" t="inlineStr">
        <is>
          <t>Hopanoid</t>
        </is>
      </c>
      <c r="B24" s="14" t="inlineStr">
        <is>
          <t>fragment</t>
        </is>
      </c>
      <c r="C24" s="14" t="inlineStr">
        <is>
          <t>Hopanol</t>
        </is>
      </c>
      <c r="D24" s="14" t="inlineStr">
        <is>
          <t>369.3516</t>
        </is>
      </c>
    </row>
    <row r="25" ht="15" customHeight="1">
      <c r="A25" s="14" t="inlineStr">
        <is>
          <t>Hopanoid</t>
        </is>
      </c>
      <c r="B25" s="14" t="inlineStr">
        <is>
          <t>fragment</t>
        </is>
      </c>
      <c r="C25" s="14" t="inlineStr">
        <is>
          <t>Diplopterol</t>
        </is>
      </c>
      <c r="D25" s="14" t="inlineStr">
        <is>
          <t>395.3672</t>
        </is>
      </c>
    </row>
    <row r="26" ht="15" customHeight="1">
      <c r="A26" s="14" t="inlineStr">
        <is>
          <t>PE</t>
        </is>
      </c>
      <c r="B26" s="14" t="inlineStr">
        <is>
          <t>neutral_loss</t>
        </is>
      </c>
      <c r="C26" s="14" t="inlineStr">
        <is>
          <t>Ethanolamine_phosphate</t>
        </is>
      </c>
      <c r="D26" s="14" t="inlineStr">
        <is>
          <t>141.0191</t>
        </is>
      </c>
    </row>
    <row r="27" ht="15" customHeight="1">
      <c r="A27" s="14" t="inlineStr">
        <is>
          <t>PS</t>
        </is>
      </c>
      <c r="B27" s="14" t="inlineStr">
        <is>
          <t>neutral_loss</t>
        </is>
      </c>
      <c r="C27" s="14" t="inlineStr">
        <is>
          <t>Serine</t>
        </is>
      </c>
      <c r="D27" s="14" t="inlineStr">
        <is>
          <t>87.032</t>
        </is>
      </c>
    </row>
    <row r="28" ht="15" customHeight="1">
      <c r="A28" s="14" t="inlineStr">
        <is>
          <t>Glycolipid</t>
        </is>
      </c>
      <c r="B28" s="14" t="inlineStr">
        <is>
          <t>neutral_loss</t>
        </is>
      </c>
      <c r="C28" s="14" t="inlineStr">
        <is>
          <t>Hexose_loss</t>
        </is>
      </c>
      <c r="D28" s="14" t="inlineStr">
        <is>
          <t>162.0528</t>
        </is>
      </c>
    </row>
    <row r="29" ht="15" customHeight="1">
      <c r="A29" s="14" t="inlineStr">
        <is>
          <t>Glycolipid</t>
        </is>
      </c>
      <c r="B29" s="14" t="inlineStr">
        <is>
          <t>neutral_loss</t>
        </is>
      </c>
      <c r="C29" s="14" t="inlineStr">
        <is>
          <t>Hexose+H2O_loss</t>
        </is>
      </c>
      <c r="D29" s="14" t="inlineStr">
        <is>
          <t>180.0634</t>
        </is>
      </c>
    </row>
    <row r="30" ht="15" customHeight="1">
      <c r="A30" s="14" t="inlineStr">
        <is>
          <t>Sphingolipid</t>
        </is>
      </c>
      <c r="B30" s="14" t="inlineStr">
        <is>
          <t>neutral_loss</t>
        </is>
      </c>
      <c r="C30" s="14" t="inlineStr">
        <is>
          <t>Hexose_ceramide</t>
        </is>
      </c>
      <c r="D30" s="14" t="inlineStr">
        <is>
          <t>180.0634</t>
        </is>
      </c>
    </row>
    <row r="31" ht="15" customHeight="1">
      <c r="A31" s="14" t="inlineStr">
        <is>
          <t>Terpenoid</t>
        </is>
      </c>
      <c r="B31" s="14" t="inlineStr">
        <is>
          <t>terpenoid_fragment</t>
        </is>
      </c>
      <c r="C31" s="14" t="inlineStr">
        <is>
          <t>Isoprene_unit</t>
        </is>
      </c>
      <c r="D31" s="14" t="inlineStr">
        <is>
          <t>69.0699</t>
        </is>
      </c>
    </row>
    <row r="32" ht="15" customHeight="1">
      <c r="A32" s="14" t="inlineStr">
        <is>
          <t>Terpenoid</t>
        </is>
      </c>
      <c r="B32" s="14" t="inlineStr">
        <is>
          <t>terpenoid_fragment</t>
        </is>
      </c>
      <c r="C32" s="14" t="inlineStr">
        <is>
          <t>Monoterpene_frag</t>
        </is>
      </c>
      <c r="D32" s="14" t="inlineStr">
        <is>
          <t>81.0699</t>
        </is>
      </c>
    </row>
    <row r="33" ht="15" customHeight="1">
      <c r="A33" s="14" t="inlineStr">
        <is>
          <t>Terpenoid</t>
        </is>
      </c>
      <c r="B33" s="14" t="inlineStr">
        <is>
          <t>terpenoid_fragment</t>
        </is>
      </c>
      <c r="C33" s="14" t="inlineStr">
        <is>
          <t>Toluenium</t>
        </is>
      </c>
      <c r="D33" s="14" t="inlineStr">
        <is>
          <t>93.0699</t>
        </is>
      </c>
    </row>
    <row r="34" ht="15" customHeight="1">
      <c r="A34" s="14" t="inlineStr">
        <is>
          <t>Terpenoid</t>
        </is>
      </c>
      <c r="B34" s="14" t="inlineStr">
        <is>
          <t>terpenoid_fragment</t>
        </is>
      </c>
      <c r="C34" s="14" t="inlineStr">
        <is>
          <t>Methylcyclohexenyl</t>
        </is>
      </c>
      <c r="D34" s="14" t="inlineStr">
        <is>
          <t>95.0855</t>
        </is>
      </c>
    </row>
    <row r="35" ht="15" customHeight="1">
      <c r="A35" s="14" t="inlineStr">
        <is>
          <t>Terpenoid</t>
        </is>
      </c>
      <c r="B35" s="14" t="inlineStr">
        <is>
          <t>terpenoid_fragment</t>
        </is>
      </c>
      <c r="C35" s="14" t="inlineStr">
        <is>
          <t>Xylene_cation</t>
        </is>
      </c>
      <c r="D35" s="14" t="inlineStr">
        <is>
          <t>105.0699</t>
        </is>
      </c>
    </row>
    <row r="36" ht="15" customHeight="1">
      <c r="A36" s="14" t="inlineStr">
        <is>
          <t>Terpenoid</t>
        </is>
      </c>
      <c r="B36" s="14" t="inlineStr">
        <is>
          <t>terpenoid_fragment</t>
        </is>
      </c>
      <c r="C36" s="14" t="inlineStr">
        <is>
          <t>Dimethylcyclohexenyl</t>
        </is>
      </c>
      <c r="D36" s="14" t="inlineStr">
        <is>
          <t>107.0855</t>
        </is>
      </c>
    </row>
    <row r="37" ht="15" customHeight="1">
      <c r="A37" s="14" t="inlineStr">
        <is>
          <t>Terpenoid</t>
        </is>
      </c>
      <c r="B37" s="14" t="inlineStr">
        <is>
          <t>terpenoid_fragment</t>
        </is>
      </c>
      <c r="C37" s="14" t="inlineStr">
        <is>
          <t>Sesquiterpene_frag</t>
        </is>
      </c>
      <c r="D37" s="14" t="inlineStr">
        <is>
          <t>109.1012</t>
        </is>
      </c>
    </row>
    <row r="38" ht="15" customHeight="1">
      <c r="A38" s="14" t="inlineStr">
        <is>
          <t>Terpenoid</t>
        </is>
      </c>
      <c r="B38" s="14" t="inlineStr">
        <is>
          <t>terpenoid_fragment</t>
        </is>
      </c>
      <c r="C38" s="14" t="inlineStr">
        <is>
          <t>C9H11+</t>
        </is>
      </c>
      <c r="D38" s="14" t="inlineStr">
        <is>
          <t>119.0855</t>
        </is>
      </c>
    </row>
    <row r="39" ht="15" customHeight="1">
      <c r="A39" s="14" t="inlineStr">
        <is>
          <t>Terpenoid</t>
        </is>
      </c>
      <c r="B39" s="14" t="inlineStr">
        <is>
          <t>terpenoid_fragment</t>
        </is>
      </c>
      <c r="C39" s="14" t="inlineStr">
        <is>
          <t>Sesquiterpene_frag2</t>
        </is>
      </c>
      <c r="D39" s="14" t="inlineStr">
        <is>
          <t>121.1012</t>
        </is>
      </c>
    </row>
    <row r="40" ht="15" customHeight="1">
      <c r="A40" s="14" t="inlineStr">
        <is>
          <t>Terpenoid</t>
        </is>
      </c>
      <c r="B40" s="14" t="inlineStr">
        <is>
          <t>terpenoid_fragment</t>
        </is>
      </c>
      <c r="C40" s="14" t="inlineStr">
        <is>
          <t>Sesquiterpene_frag3</t>
        </is>
      </c>
      <c r="D40" s="14" t="inlineStr">
        <is>
          <t>123.1168</t>
        </is>
      </c>
    </row>
    <row r="41" ht="15" customHeight="1">
      <c r="A41" s="14" t="inlineStr">
        <is>
          <t>Terpenoid</t>
        </is>
      </c>
      <c r="B41" s="14" t="inlineStr">
        <is>
          <t>terpenoid_fragment</t>
        </is>
      </c>
      <c r="C41" s="14" t="inlineStr">
        <is>
          <t>Diterpene_frag</t>
        </is>
      </c>
      <c r="D41" s="14" t="inlineStr">
        <is>
          <t>133.1012</t>
        </is>
      </c>
    </row>
    <row r="42" ht="15" customHeight="1">
      <c r="A42" s="14" t="inlineStr">
        <is>
          <t>Terpenoid</t>
        </is>
      </c>
      <c r="B42" s="14" t="inlineStr">
        <is>
          <t>terpenoid_fragment</t>
        </is>
      </c>
      <c r="C42" s="14" t="inlineStr">
        <is>
          <t>Diterpene_frag2</t>
        </is>
      </c>
      <c r="D42" s="14" t="inlineStr">
        <is>
          <t>135.1168</t>
        </is>
      </c>
    </row>
    <row r="43" ht="15" customHeight="1">
      <c r="A43" s="14" t="inlineStr">
        <is>
          <t>Terpenoid</t>
        </is>
      </c>
      <c r="B43" s="14" t="inlineStr">
        <is>
          <t>terpenoid_fragment</t>
        </is>
      </c>
      <c r="C43" s="14" t="inlineStr">
        <is>
          <t>C11H15+</t>
        </is>
      </c>
      <c r="D43" s="14" t="inlineStr">
        <is>
          <t>147.1168</t>
        </is>
      </c>
    </row>
    <row r="44" ht="15" customHeight="1">
      <c r="A44" s="14" t="inlineStr">
        <is>
          <t>Terpenoid</t>
        </is>
      </c>
      <c r="B44" s="14" t="inlineStr">
        <is>
          <t>terpenoid_fragment</t>
        </is>
      </c>
      <c r="C44" s="14" t="inlineStr">
        <is>
          <t>Sesterterpene_frag</t>
        </is>
      </c>
      <c r="D44" s="14" t="inlineStr">
        <is>
          <t>149.1325</t>
        </is>
      </c>
    </row>
    <row r="45" ht="15" customHeight="1">
      <c r="A45" s="14" t="inlineStr">
        <is>
          <t>Terpenoid</t>
        </is>
      </c>
      <c r="B45" s="14" t="inlineStr">
        <is>
          <t>terpenoid_fragment</t>
        </is>
      </c>
      <c r="C45" s="14" t="inlineStr">
        <is>
          <t>C12H17+</t>
        </is>
      </c>
      <c r="D45" s="14" t="inlineStr">
        <is>
          <t>161.1325</t>
        </is>
      </c>
    </row>
    <row r="46" ht="15" customHeight="1">
      <c r="A46" s="14" t="inlineStr">
        <is>
          <t>Terpenoid</t>
        </is>
      </c>
      <c r="B46" s="14" t="inlineStr">
        <is>
          <t>terpenoid_fragment</t>
        </is>
      </c>
      <c r="C46" s="14" t="inlineStr">
        <is>
          <t>C13H19+</t>
        </is>
      </c>
      <c r="D46" s="14" t="inlineStr">
        <is>
          <t>175.1481</t>
        </is>
      </c>
    </row>
    <row r="47" ht="15" customHeight="1">
      <c r="A47" s="14" t="inlineStr">
        <is>
          <t>Terpenoid</t>
        </is>
      </c>
      <c r="B47" s="14" t="inlineStr">
        <is>
          <t>terpenoid_fragment</t>
        </is>
      </c>
      <c r="C47" s="14" t="inlineStr">
        <is>
          <t>Hopane_C14</t>
        </is>
      </c>
      <c r="D47" s="14" t="inlineStr">
        <is>
          <t>189.1638</t>
        </is>
      </c>
    </row>
    <row r="48" ht="15" customHeight="1">
      <c r="A48" s="14" t="inlineStr">
        <is>
          <t>Terpenoid</t>
        </is>
      </c>
      <c r="B48" s="14" t="inlineStr">
        <is>
          <t>terpenoid_fragment</t>
        </is>
      </c>
      <c r="C48" s="14" t="inlineStr">
        <is>
          <t>Hopane_skeleton</t>
        </is>
      </c>
      <c r="D48" s="14" t="inlineStr">
        <is>
          <t>191.1794</t>
        </is>
      </c>
    </row>
    <row r="49" ht="15" customHeight="1">
      <c r="A49" s="14" t="inlineStr">
        <is>
          <t>Terpenoid</t>
        </is>
      </c>
      <c r="B49" s="14" t="inlineStr">
        <is>
          <t>terpenoid_fragment</t>
        </is>
      </c>
      <c r="C49" s="14" t="inlineStr">
        <is>
          <t>Triterpene_C15</t>
        </is>
      </c>
      <c r="D49" s="14" t="inlineStr">
        <is>
          <t>203.1794</t>
        </is>
      </c>
    </row>
    <row r="50" ht="15" customHeight="1">
      <c r="A50" s="14" t="inlineStr">
        <is>
          <t>Terpenoid</t>
        </is>
      </c>
      <c r="B50" s="14" t="inlineStr">
        <is>
          <t>terpenoid_fragment</t>
        </is>
      </c>
      <c r="C50" s="14" t="inlineStr">
        <is>
          <t>Steroid_C15</t>
        </is>
      </c>
      <c r="D50" s="14" t="inlineStr">
        <is>
          <t>205.1951</t>
        </is>
      </c>
    </row>
    <row r="51" ht="15" customHeight="1">
      <c r="A51" s="14" t="inlineStr">
        <is>
          <t>Terpenoid</t>
        </is>
      </c>
      <c r="B51" s="14" t="inlineStr">
        <is>
          <t>terpenoid_fragment</t>
        </is>
      </c>
      <c r="C51" s="14" t="inlineStr">
        <is>
          <t>RDA_triterpene</t>
        </is>
      </c>
      <c r="D51" s="14" t="inlineStr">
        <is>
          <t>218.2035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outlineLevelCol="0"/>
  <cols>
    <col width="28" customWidth="1" min="1" max="1"/>
    <col width="78" customWidth="1" min="2" max="2"/>
    <col width="12" customWidth="1" min="3" max="3"/>
    <col width="12" customWidth="1" min="4" max="4"/>
  </cols>
  <sheetData>
    <row r="1">
      <c r="A1" s="15" t="inlineStr">
        <is>
          <t>Supplementary Table S3 — corrected diagnostic MS/MS classifier</t>
        </is>
      </c>
    </row>
    <row r="2"/>
    <row r="3">
      <c r="A3" s="16" t="inlineStr">
        <is>
          <t>Status</t>
        </is>
      </c>
      <c r="B3" s="17" t="inlineStr">
        <is>
          <t>Recovered reproducible source</t>
        </is>
      </c>
    </row>
    <row r="4">
      <c r="A4" s="16" t="inlineStr">
        <is>
          <t>Total rules</t>
        </is>
      </c>
      <c r="B4" s="17" t="n">
        <v>50</v>
      </c>
    </row>
    <row r="5">
      <c r="A5" s="16" t="inlineStr">
        <is>
          <t>Diagnostic fragments</t>
        </is>
      </c>
      <c r="B5" s="17" t="n">
        <v>24</v>
      </c>
    </row>
    <row r="6">
      <c r="A6" s="16" t="inlineStr">
        <is>
          <t>Neutral losses</t>
        </is>
      </c>
      <c r="B6" s="17" t="n">
        <v>5</v>
      </c>
    </row>
    <row r="7">
      <c r="A7" s="16" t="inlineStr">
        <is>
          <t>Terpenoid fragments</t>
        </is>
      </c>
      <c r="B7" s="17" t="n">
        <v>21</v>
      </c>
    </row>
    <row r="8">
      <c r="A8" s="16" t="inlineStr">
        <is>
          <t>Classifier labels</t>
        </is>
      </c>
      <c r="B8" s="17" t="n">
        <v>13</v>
      </c>
    </row>
    <row r="9">
      <c r="A9" s="16" t="inlineStr">
        <is>
          <t>Unsupported prior claim</t>
        </is>
      </c>
      <c r="B9" s="17" t="inlineStr">
        <is>
          <t>66 entries</t>
        </is>
      </c>
    </row>
    <row r="10">
      <c r="A10" s="16" t="inlineStr">
        <is>
          <t>Missing from claimed set</t>
        </is>
      </c>
      <c r="B10" s="17" t="n">
        <v>16</v>
      </c>
    </row>
    <row r="11">
      <c r="A11" s="16" t="inlineStr">
        <is>
          <t>Authoritative source</t>
        </is>
      </c>
      <c r="B11" s="17" t="inlineStr">
        <is>
          <t>ms2_classify_indval.py</t>
        </is>
      </c>
    </row>
    <row r="12">
      <c r="A12" s="16" t="inlineStr">
        <is>
          <t>Correction</t>
        </is>
      </c>
      <c r="B12" s="17" t="inlineStr">
        <is>
          <t>Replace the 66-entry claim with 50 diagnostic rules across 13 classifier labels.</t>
        </is>
      </c>
    </row>
    <row r="13"/>
    <row r="14" ht="52" customHeight="1">
      <c r="A14" s="18" t="inlineStr">
        <is>
          <t>The recovered 33-entry quick-reference table is not the executable classifier. No standalone 66-entry source was found; the missing 16 entries were not inferred or fabricated.</t>
        </is>
      </c>
    </row>
  </sheetData>
  <mergeCells count="2">
    <mergeCell ref="A1:D1"/>
    <mergeCell ref="A14:D1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outlineLevelCol="0"/>
  <cols>
    <col width="112" customWidth="1" min="1" max="1"/>
  </cols>
  <sheetData>
    <row r="1">
      <c r="A1" s="3" t="inlineStr">
        <is>
          <t>Supplementary Table S4. Distance-metric sensitivity of the lipidome-phylogeny Mantel test (strict release)</t>
        </is>
      </c>
    </row>
    <row r="2">
      <c r="A2" s="4" t="n"/>
    </row>
    <row r="3">
      <c r="A3" s="4" t="inlineStr">
        <is>
          <t>Mantel r between the phylum-level lipidome distance matrix and the phylogenetic distance matrix, over the 16 analysis phyla (120 pairs), in both ionisation modes.</t>
        </is>
      </c>
    </row>
    <row r="4">
      <c r="A4" s="4" t="n"/>
    </row>
    <row r="5">
      <c r="A5" s="4" t="inlineStr">
        <is>
          <t>Bray-Curtis is used for all main analyses; Jaccard and cosine are reported to show the phylogenetic signal is not an artefact of the distance metric.</t>
        </is>
      </c>
    </row>
    <row r="6">
      <c r="A6" s="4" t="n"/>
    </row>
    <row r="7">
      <c r="A7" s="4" t="inlineStr">
        <is>
          <t>STATUS: documented recomputation, not a reproduction. The published values were computed on the pre-correction unit scheme, and the phylogeny distance matrix for that scheme is not in the repository (only the 16-phylum matrix exists), so they cannot be recomputed. Consistency check: this code path gives Bray-Curtis r = 0.598 (POS) and 0.761 (NEG) against the published 0.603 and 0.767 - a shift below 0.01. Sheet 'Vs_submitted' places the two side by side.</t>
        </is>
      </c>
    </row>
    <row r="8">
      <c r="A8" s="4" t="n"/>
    </row>
    <row r="9">
      <c r="A9" s="4" t="inlineStr">
        <is>
          <t>The submitted table reported Jaccard and cosine for positive mode only and left negative mode as em-dashes. Both are now computed.</t>
        </is>
      </c>
    </row>
    <row r="10">
      <c r="A10" s="4" t="n"/>
    </row>
    <row r="11">
      <c r="A11" s="4" t="inlineStr">
        <is>
          <t>Jaccard is computed on presence/absence profiles, the standard for community data; Bray-Curtis and cosine on abundance profiles. The 'Profile basis' column in 'Full_results' records this per row.</t>
        </is>
      </c>
    </row>
    <row r="12">
      <c r="A12" s="4" t="n"/>
    </row>
    <row r="13">
      <c r="A13" s="4" t="inlineStr">
        <is>
          <t>p values are permutation-based (label permutations of the phylogeny matrix), not the parametric correlation p. Method and permutation count are given per row in 'Full_results'.</t>
        </is>
      </c>
    </row>
    <row r="14">
      <c r="A14" s="4" t="n"/>
    </row>
    <row r="15">
      <c r="A15" s="4" t="inlineStr">
        <is>
          <t>Machinery is Supplementary Figure 1d's, unchanged: same profile builder (cross-batch features, detection &gt;= 5%, mean intensity &gt;= 500), same permutation test, same seeds.</t>
        </is>
      </c>
    </row>
    <row r="16">
      <c r="A16" s="4" t="n"/>
    </row>
    <row r="17">
      <c r="A17" s="4" t="inlineStr">
        <is>
          <t>Taxonomy release: ncbi-phylum-2026-08-04-v1 (locked). Producer: paper2_repro/scripts/build_table_s4_strict16.py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outlineLevelCol="0"/>
  <cols>
    <col width="17" customWidth="1" min="1" max="1"/>
    <col width="14" customWidth="1" min="2" max="2"/>
    <col width="13" customWidth="1" min="3" max="3"/>
    <col width="14" customWidth="1" min="4" max="4"/>
    <col width="13" customWidth="1" min="5" max="5"/>
  </cols>
  <sheetData>
    <row r="1">
      <c r="A1" s="5" t="inlineStr">
        <is>
          <t>Supplementary Table S4. Distance-metric sensitivity (Mantel r, strict release)</t>
        </is>
      </c>
    </row>
    <row r="2">
      <c r="A2" s="6" t="inlineStr">
        <is>
          <t>Permutation p values. Negative mode now included for all three metrics.</t>
        </is>
      </c>
    </row>
    <row r="3"/>
    <row r="4">
      <c r="A4" s="7" t="inlineStr">
        <is>
          <t>Distance metric</t>
        </is>
      </c>
      <c r="B4" s="7" t="inlineStr">
        <is>
          <t>POS Mantel r</t>
        </is>
      </c>
      <c r="C4" s="7" t="inlineStr">
        <is>
          <t>POS p-value</t>
        </is>
      </c>
      <c r="D4" s="7" t="inlineStr">
        <is>
          <t>NEG Mantel r</t>
        </is>
      </c>
      <c r="E4" s="7" t="inlineStr">
        <is>
          <t>NEG p-value</t>
        </is>
      </c>
    </row>
    <row r="5">
      <c r="A5" s="8" t="inlineStr">
        <is>
          <t>Bray-Curtis</t>
        </is>
      </c>
      <c r="B5" s="8" t="n">
        <v>0.598</v>
      </c>
      <c r="C5" s="8" t="n">
        <v>0.0001</v>
      </c>
      <c r="D5" s="8" t="n">
        <v>0.761</v>
      </c>
      <c r="E5" s="8" t="n">
        <v>0.0001</v>
      </c>
    </row>
    <row r="6">
      <c r="A6" s="8" t="inlineStr">
        <is>
          <t>Jaccard</t>
        </is>
      </c>
      <c r="B6" s="8" t="n">
        <v>0.421</v>
      </c>
      <c r="C6" s="8" t="n">
        <v>0.0043</v>
      </c>
      <c r="D6" s="8" t="n">
        <v>0.517</v>
      </c>
      <c r="E6" s="8" t="n">
        <v>0.0017</v>
      </c>
    </row>
    <row r="7">
      <c r="A7" s="8" t="inlineStr">
        <is>
          <t>Cosine</t>
        </is>
      </c>
      <c r="B7" s="8" t="n">
        <v>0.452</v>
      </c>
      <c r="C7" s="8" t="n">
        <v>0.0001</v>
      </c>
      <c r="D7" s="8" t="n">
        <v>0.622</v>
      </c>
      <c r="E7" s="8" t="n">
        <v>0.0001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outlineLevelCol="0"/>
  <cols>
    <col width="17" customWidth="1" min="1" max="1"/>
    <col width="18" customWidth="1" min="2" max="2"/>
    <col width="11" customWidth="1" min="3" max="3"/>
    <col width="11" customWidth="1" min="4" max="4"/>
    <col width="11" customWidth="1" min="5" max="5"/>
    <col width="11" customWidth="1" min="6" max="6"/>
    <col width="24" customWidth="1" min="7" max="7"/>
    <col width="14" customWidth="1" min="8" max="8"/>
    <col width="32" customWidth="1" min="9" max="9"/>
    <col width="11" customWidth="1" min="10" max="10"/>
  </cols>
  <sheetData>
    <row r="1">
      <c r="A1" s="5" t="inlineStr">
        <is>
          <t>Supplementary Table S4b. Full Mantel results</t>
        </is>
      </c>
    </row>
    <row r="2">
      <c r="A2" s="6" t="inlineStr">
        <is>
          <t>Per metric and mode, with profile basis, pair counts and permutation method.</t>
        </is>
      </c>
    </row>
    <row r="3"/>
    <row r="4">
      <c r="A4" s="7" t="inlineStr">
        <is>
          <t>Distance metric</t>
        </is>
      </c>
      <c r="B4" s="7" t="inlineStr">
        <is>
          <t>Profile basis</t>
        </is>
      </c>
      <c r="C4" s="7" t="inlineStr">
        <is>
          <t>Mode</t>
        </is>
      </c>
      <c r="D4" s="7" t="inlineStr">
        <is>
          <t>n phyla</t>
        </is>
      </c>
      <c r="E4" s="7" t="inlineStr">
        <is>
          <t>n pairs</t>
        </is>
      </c>
      <c r="F4" s="7" t="inlineStr">
        <is>
          <t>Mantel r</t>
        </is>
      </c>
      <c r="G4" s="7" t="inlineStr">
        <is>
          <t>Mantel p (permutation)</t>
        </is>
      </c>
      <c r="H4" s="7" t="inlineStr">
        <is>
          <t>Permutations</t>
        </is>
      </c>
      <c r="I4" s="7" t="inlineStr">
        <is>
          <t>Permutation method</t>
        </is>
      </c>
      <c r="J4" s="7" t="inlineStr">
        <is>
          <t>Seed</t>
        </is>
      </c>
    </row>
    <row r="5">
      <c r="A5" s="8" t="inlineStr">
        <is>
          <t>Bray-Curtis</t>
        </is>
      </c>
      <c r="B5" s="8" t="inlineStr">
        <is>
          <t>abundance</t>
        </is>
      </c>
      <c r="C5" s="8" t="inlineStr">
        <is>
          <t>POS</t>
        </is>
      </c>
      <c r="D5" s="8" t="n">
        <v>16</v>
      </c>
      <c r="E5" s="8" t="n">
        <v>120</v>
      </c>
      <c r="F5" s="8" t="n">
        <v>0.598</v>
      </c>
      <c r="G5" s="8" t="n">
        <v>0.0001</v>
      </c>
      <c r="H5" s="8" t="n">
        <v>9999</v>
      </c>
      <c r="I5" s="8" t="inlineStr">
        <is>
          <t>random_9999_label_permutations</t>
        </is>
      </c>
      <c r="J5" s="8" t="n">
        <v>20720247</v>
      </c>
    </row>
    <row r="6">
      <c r="A6" s="8" t="inlineStr">
        <is>
          <t>Jaccard</t>
        </is>
      </c>
      <c r="B6" s="8" t="inlineStr">
        <is>
          <t>presence/absence</t>
        </is>
      </c>
      <c r="C6" s="8" t="inlineStr">
        <is>
          <t>POS</t>
        </is>
      </c>
      <c r="D6" s="8" t="n">
        <v>16</v>
      </c>
      <c r="E6" s="8" t="n">
        <v>120</v>
      </c>
      <c r="F6" s="8" t="n">
        <v>0.421</v>
      </c>
      <c r="G6" s="8" t="n">
        <v>0.0043</v>
      </c>
      <c r="H6" s="8" t="n">
        <v>9999</v>
      </c>
      <c r="I6" s="8" t="inlineStr">
        <is>
          <t>random_9999_label_permutations</t>
        </is>
      </c>
      <c r="J6" s="8" t="n">
        <v>20720247</v>
      </c>
    </row>
    <row r="7">
      <c r="A7" s="8" t="inlineStr">
        <is>
          <t>Cosine</t>
        </is>
      </c>
      <c r="B7" s="8" t="inlineStr">
        <is>
          <t>abundance</t>
        </is>
      </c>
      <c r="C7" s="8" t="inlineStr">
        <is>
          <t>POS</t>
        </is>
      </c>
      <c r="D7" s="8" t="n">
        <v>16</v>
      </c>
      <c r="E7" s="8" t="n">
        <v>120</v>
      </c>
      <c r="F7" s="8" t="n">
        <v>0.452</v>
      </c>
      <c r="G7" s="8" t="n">
        <v>0.0001</v>
      </c>
      <c r="H7" s="8" t="n">
        <v>9999</v>
      </c>
      <c r="I7" s="8" t="inlineStr">
        <is>
          <t>random_9999_label_permutations</t>
        </is>
      </c>
      <c r="J7" s="8" t="n">
        <v>20720247</v>
      </c>
    </row>
    <row r="8">
      <c r="A8" s="8" t="inlineStr">
        <is>
          <t>Bray-Curtis</t>
        </is>
      </c>
      <c r="B8" s="8" t="inlineStr">
        <is>
          <t>abundance</t>
        </is>
      </c>
      <c r="C8" s="8" t="inlineStr">
        <is>
          <t>NEG</t>
        </is>
      </c>
      <c r="D8" s="8" t="n">
        <v>16</v>
      </c>
      <c r="E8" s="8" t="n">
        <v>120</v>
      </c>
      <c r="F8" s="8" t="n">
        <v>0.761</v>
      </c>
      <c r="G8" s="8" t="n">
        <v>0.0001</v>
      </c>
      <c r="H8" s="8" t="n">
        <v>9999</v>
      </c>
      <c r="I8" s="8" t="inlineStr">
        <is>
          <t>random_9999_label_permutations</t>
        </is>
      </c>
      <c r="J8" s="8" t="n">
        <v>21211386</v>
      </c>
    </row>
    <row r="9">
      <c r="A9" s="8" t="inlineStr">
        <is>
          <t>Jaccard</t>
        </is>
      </c>
      <c r="B9" s="8" t="inlineStr">
        <is>
          <t>presence/absence</t>
        </is>
      </c>
      <c r="C9" s="8" t="inlineStr">
        <is>
          <t>NEG</t>
        </is>
      </c>
      <c r="D9" s="8" t="n">
        <v>16</v>
      </c>
      <c r="E9" s="8" t="n">
        <v>120</v>
      </c>
      <c r="F9" s="8" t="n">
        <v>0.517</v>
      </c>
      <c r="G9" s="8" t="n">
        <v>0.0017</v>
      </c>
      <c r="H9" s="8" t="n">
        <v>9999</v>
      </c>
      <c r="I9" s="8" t="inlineStr">
        <is>
          <t>random_9999_label_permutations</t>
        </is>
      </c>
      <c r="J9" s="8" t="n">
        <v>21211386</v>
      </c>
    </row>
    <row r="10">
      <c r="A10" s="8" t="inlineStr">
        <is>
          <t>Cosine</t>
        </is>
      </c>
      <c r="B10" s="8" t="inlineStr">
        <is>
          <t>abundance</t>
        </is>
      </c>
      <c r="C10" s="8" t="inlineStr">
        <is>
          <t>NEG</t>
        </is>
      </c>
      <c r="D10" s="8" t="n">
        <v>16</v>
      </c>
      <c r="E10" s="8" t="n">
        <v>120</v>
      </c>
      <c r="F10" s="8" t="n">
        <v>0.622</v>
      </c>
      <c r="G10" s="8" t="n">
        <v>0.0001</v>
      </c>
      <c r="H10" s="8" t="n">
        <v>9999</v>
      </c>
      <c r="I10" s="8" t="inlineStr">
        <is>
          <t>random_9999_label_permutations</t>
        </is>
      </c>
      <c r="J10" s="8" t="n">
        <v>21211386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outlineLevelCol="0"/>
  <cols>
    <col width="17" customWidth="1" min="1" max="1"/>
    <col width="14" customWidth="1" min="2" max="2"/>
    <col width="13" customWidth="1" min="3" max="3"/>
    <col width="14" customWidth="1" min="4" max="4"/>
    <col width="13" customWidth="1" min="5" max="5"/>
    <col width="26" customWidth="1" min="6" max="6"/>
    <col width="25" customWidth="1" min="7" max="7"/>
    <col width="26" customWidth="1" min="8" max="8"/>
    <col width="25" customWidth="1" min="9" max="9"/>
  </cols>
  <sheetData>
    <row r="1">
      <c r="A1" s="5" t="inlineStr">
        <is>
          <t>Supplementary Table S4c. Strict release vs submitted</t>
        </is>
      </c>
    </row>
    <row r="2">
      <c r="A2" s="6" t="inlineStr">
        <is>
          <t>Side-by-side. The submitted values are not reproducible - see Notes.</t>
        </is>
      </c>
    </row>
    <row r="3"/>
    <row r="4">
      <c r="A4" s="7" t="inlineStr">
        <is>
          <t>Distance metric</t>
        </is>
      </c>
      <c r="B4" s="7" t="inlineStr">
        <is>
          <t>POS Mantel r</t>
        </is>
      </c>
      <c r="C4" s="7" t="inlineStr">
        <is>
          <t>POS p-value</t>
        </is>
      </c>
      <c r="D4" s="7" t="inlineStr">
        <is>
          <t>NEG Mantel r</t>
        </is>
      </c>
      <c r="E4" s="7" t="inlineStr">
        <is>
          <t>NEG p-value</t>
        </is>
      </c>
      <c r="F4" s="7" t="inlineStr">
        <is>
          <t>POS Mantel r (submitted)</t>
        </is>
      </c>
      <c r="G4" s="7" t="inlineStr">
        <is>
          <t>POS p-value (submitted)</t>
        </is>
      </c>
      <c r="H4" s="7" t="inlineStr">
        <is>
          <t>NEG Mantel r (submitted)</t>
        </is>
      </c>
      <c r="I4" s="7" t="inlineStr">
        <is>
          <t>NEG p-value (submitted)</t>
        </is>
      </c>
    </row>
    <row r="5">
      <c r="A5" s="8" t="inlineStr">
        <is>
          <t>Bray-Curtis</t>
        </is>
      </c>
      <c r="B5" s="8" t="n">
        <v>0.598</v>
      </c>
      <c r="C5" s="8" t="n">
        <v>0.0001</v>
      </c>
      <c r="D5" s="8" t="n">
        <v>0.761</v>
      </c>
      <c r="E5" s="8" t="n">
        <v>0.0001</v>
      </c>
      <c r="F5" s="8" t="n">
        <v>0.603</v>
      </c>
      <c r="G5" s="8" t="inlineStr">
        <is>
          <t>&lt;0.001</t>
        </is>
      </c>
      <c r="H5" s="8" t="n">
        <v>0.767</v>
      </c>
      <c r="I5" s="8" t="inlineStr">
        <is>
          <t>&lt;0.001</t>
        </is>
      </c>
    </row>
    <row r="6">
      <c r="A6" s="8" t="inlineStr">
        <is>
          <t>Jaccard</t>
        </is>
      </c>
      <c r="B6" s="8" t="n">
        <v>0.421</v>
      </c>
      <c r="C6" s="8" t="n">
        <v>0.0043</v>
      </c>
      <c r="D6" s="8" t="n">
        <v>0.517</v>
      </c>
      <c r="E6" s="8" t="n">
        <v>0.0017</v>
      </c>
      <c r="F6" s="8" t="n">
        <v>0.361</v>
      </c>
      <c r="G6" s="8" t="inlineStr">
        <is>
          <t>&lt;0.001</t>
        </is>
      </c>
      <c r="H6" s="8" t="inlineStr">
        <is>
          <t>—</t>
        </is>
      </c>
      <c r="I6" s="8" t="inlineStr">
        <is>
          <t>—</t>
        </is>
      </c>
    </row>
    <row r="7">
      <c r="A7" s="8" t="inlineStr">
        <is>
          <t>Cosine</t>
        </is>
      </c>
      <c r="B7" s="8" t="n">
        <v>0.452</v>
      </c>
      <c r="C7" s="8" t="n">
        <v>0.0001</v>
      </c>
      <c r="D7" s="8" t="n">
        <v>0.622</v>
      </c>
      <c r="E7" s="8" t="n">
        <v>0.0001</v>
      </c>
      <c r="F7" s="8" t="n">
        <v>0.396</v>
      </c>
      <c r="G7" s="8" t="inlineStr">
        <is>
          <t>&lt;0.001</t>
        </is>
      </c>
      <c r="H7" s="8" t="inlineStr">
        <is>
          <t>—</t>
        </is>
      </c>
      <c r="I7" s="8"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outlineLevelCol="0"/>
  <cols>
    <col width="114" customWidth="1" min="1" max="1"/>
  </cols>
  <sheetData>
    <row r="1">
      <c r="A1" s="3" t="inlineStr">
        <is>
          <t>Supplementary Table S5. Per-phylum biomarker counts by polarity and annotation tier (strict release)</t>
        </is>
      </c>
    </row>
    <row r="2">
      <c r="A2" s="4" t="n"/>
    </row>
    <row r="3">
      <c r="A3" s="4" t="inlineStr">
        <is>
          <t>Positive mode: 11,371 biomarkers across 16 analysis phyla. Negative mode: 5,697 biomarkers across 16 phyla.</t>
        </is>
      </c>
    </row>
    <row r="4">
      <c r="A4" s="4" t="n"/>
    </row>
    <row r="5">
      <c r="A5" s="4" t="inlineStr">
        <is>
          <t>Annotation tiers: Gold = molecular-species annotation; Silver = sum composition or partial structure; Bronze = lipid-class level; Unidentified = no structural annotation. Silver appears only where the release supports it (the two archaeal phyla, positive mode); negative mode has no Silver tier.</t>
        </is>
      </c>
    </row>
    <row r="6">
      <c r="A6" s="4" t="n"/>
    </row>
    <row r="7">
      <c r="A7" s="4" t="inlineStr">
        <is>
          <t>Source: the strict biomarker set in annotation_evidence_pos.csv and annotation_evidence_neg.csv - the same features Figure 2 and Supplementary Figure 7 are built from. Per-phylum, per-tier counts reproduce annotation/tier_counts.csv exactly, and the totals match the release feature counts (11,371 POS, 5,697 NEG).</t>
        </is>
      </c>
    </row>
    <row r="8">
      <c r="A8" s="4" t="n"/>
    </row>
    <row r="9">
      <c r="A9" s="4" t="inlineStr">
        <is>
          <t>This is a fresh strict discovery, NOT a relabel of the submitted table (which counted 10,454 POS / 5,741 NEG over the pre-correction 21 / 23 phyla). Relabelling was shown to be invalid: two of three merged units would have been overstated roughly threefold, because a biomarker is defined by contrast against a background and merging changes that background. The strict Streptophyta count (5,168 POS) versus a legacy land-plant sum of 1,554 shows why a fresh discovery, not a sum, is required.</t>
        </is>
      </c>
    </row>
    <row r="10">
      <c r="A10" s="4" t="n"/>
    </row>
    <row r="11">
      <c r="A11" s="4" t="inlineStr">
        <is>
          <t>Kingdom labels use the locked policy's ecological_group naming (Viridiplantae, Protists). The two source files disagreed - the positive file already used these, the negative file still carried Plantae / Protozoa - and are reconciled here.</t>
        </is>
      </c>
    </row>
    <row r="12">
      <c r="A12" s="4" t="n"/>
    </row>
    <row r="13">
      <c r="A13" s="4" t="inlineStr">
        <is>
          <t>Taxonomy release: ncbi-phylum-2026-08-04-v1 (locked). Producer: paper2_repro/scripts/build_table_s5_strict16.py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outlineLevelCol="0"/>
  <cols>
    <col width="19" customWidth="1" min="1" max="1"/>
    <col width="15" customWidth="1" min="2" max="2"/>
    <col width="14" customWidth="1" min="3" max="3"/>
    <col width="14" customWidth="1" min="4" max="4"/>
    <col width="14" customWidth="1" min="5" max="5"/>
    <col width="14" customWidth="1" min="6" max="6"/>
    <col width="14" customWidth="1" min="7" max="7"/>
    <col width="14" customWidth="1" min="8" max="8"/>
    <col width="14" customWidth="1" min="9" max="9"/>
    <col width="20" customWidth="1" min="10" max="10"/>
  </cols>
  <sheetData>
    <row r="1">
      <c r="A1" s="5" t="inlineStr">
        <is>
          <t>Supplementary Table S5a. Positive-mode biomarker counts (11,371 biomarkers, 16 analysis phyla)</t>
        </is>
      </c>
    </row>
    <row r="2">
      <c r="A2" s="6" t="inlineStr">
        <is>
          <t>Strict release biomarker set (indval_consensus + composite discovery), by annotation tier.</t>
        </is>
      </c>
    </row>
    <row r="3"/>
    <row r="4">
      <c r="A4" s="19" t="inlineStr">
        <is>
          <t>Phylum</t>
        </is>
      </c>
      <c r="B4" s="19" t="inlineStr">
        <is>
          <t>Kingdom</t>
        </is>
      </c>
      <c r="C4" s="20" t="inlineStr">
        <is>
          <t>Gold</t>
        </is>
      </c>
      <c r="D4" s="20" t="inlineStr">
        <is>
          <t>Silver</t>
        </is>
      </c>
      <c r="E4" s="20" t="inlineStr">
        <is>
          <t>Bronze</t>
        </is>
      </c>
      <c r="F4" s="20" t="inlineStr">
        <is>
          <t>Unidentified</t>
        </is>
      </c>
      <c r="G4" s="20" t="inlineStr">
        <is>
          <t>Total</t>
        </is>
      </c>
      <c r="H4" s="20" t="inlineStr">
        <is>
          <t>Gold+Silver</t>
        </is>
      </c>
      <c r="I4" s="20" t="inlineStr">
        <is>
          <t>Annotated</t>
        </is>
      </c>
      <c r="J4" s="20" t="inlineStr">
        <is>
          <t>Annotated %</t>
        </is>
      </c>
    </row>
    <row r="5">
      <c r="A5" s="8" t="inlineStr">
        <is>
          <t>Arthropoda</t>
        </is>
      </c>
      <c r="B5" s="8" t="inlineStr">
        <is>
          <t>Animalia</t>
        </is>
      </c>
      <c r="C5" s="8" t="n">
        <v>5</v>
      </c>
      <c r="D5" s="8" t="n">
        <v>0</v>
      </c>
      <c r="E5" s="8" t="n">
        <v>140</v>
      </c>
      <c r="F5" s="8" t="n">
        <v>237</v>
      </c>
      <c r="G5" s="8" t="n">
        <v>382</v>
      </c>
      <c r="H5" s="8" t="n">
        <v>5</v>
      </c>
      <c r="I5" s="8" t="n">
        <v>145</v>
      </c>
      <c r="J5" s="8" t="n">
        <v>38</v>
      </c>
    </row>
    <row r="6">
      <c r="A6" s="8" t="inlineStr">
        <is>
          <t>Mollusca</t>
        </is>
      </c>
      <c r="B6" s="8" t="inlineStr">
        <is>
          <t>Animalia</t>
        </is>
      </c>
      <c r="C6" s="8" t="n">
        <v>0</v>
      </c>
      <c r="D6" s="8" t="n">
        <v>0</v>
      </c>
      <c r="E6" s="8" t="n">
        <v>61</v>
      </c>
      <c r="F6" s="8" t="n">
        <v>394</v>
      </c>
      <c r="G6" s="8" t="n">
        <v>455</v>
      </c>
      <c r="H6" s="8" t="n">
        <v>0</v>
      </c>
      <c r="I6" s="8" t="n">
        <v>61</v>
      </c>
      <c r="J6" s="8" t="n">
        <v>13.4</v>
      </c>
    </row>
    <row r="7">
      <c r="A7" s="8" t="inlineStr">
        <is>
          <t>Nematoda</t>
        </is>
      </c>
      <c r="B7" s="8" t="inlineStr">
        <is>
          <t>Animalia</t>
        </is>
      </c>
      <c r="C7" s="8" t="n">
        <v>4</v>
      </c>
      <c r="D7" s="8" t="n">
        <v>0</v>
      </c>
      <c r="E7" s="8" t="n">
        <v>148</v>
      </c>
      <c r="F7" s="8" t="n">
        <v>270</v>
      </c>
      <c r="G7" s="8" t="n">
        <v>422</v>
      </c>
      <c r="H7" s="8" t="n">
        <v>4</v>
      </c>
      <c r="I7" s="8" t="n">
        <v>152</v>
      </c>
      <c r="J7" s="8" t="n">
        <v>36</v>
      </c>
    </row>
    <row r="8">
      <c r="A8" s="8" t="inlineStr">
        <is>
          <t>Methanobacteriota</t>
        </is>
      </c>
      <c r="B8" s="8" t="inlineStr">
        <is>
          <t>Archaea</t>
        </is>
      </c>
      <c r="C8" s="8" t="n">
        <v>213</v>
      </c>
      <c r="D8" s="8" t="n">
        <v>90</v>
      </c>
      <c r="E8" s="8" t="n">
        <v>164</v>
      </c>
      <c r="F8" s="8" t="n">
        <v>550</v>
      </c>
      <c r="G8" s="8" t="n">
        <v>1017</v>
      </c>
      <c r="H8" s="8" t="n">
        <v>303</v>
      </c>
      <c r="I8" s="8" t="n">
        <v>467</v>
      </c>
      <c r="J8" s="8" t="n">
        <v>45.9</v>
      </c>
    </row>
    <row r="9">
      <c r="A9" s="8" t="inlineStr">
        <is>
          <t>Thermoproteota</t>
        </is>
      </c>
      <c r="B9" s="8" t="inlineStr">
        <is>
          <t>Archaea</t>
        </is>
      </c>
      <c r="C9" s="8" t="n">
        <v>47</v>
      </c>
      <c r="D9" s="8" t="n">
        <v>29</v>
      </c>
      <c r="E9" s="8" t="n">
        <v>70</v>
      </c>
      <c r="F9" s="8" t="n">
        <v>170</v>
      </c>
      <c r="G9" s="8" t="n">
        <v>316</v>
      </c>
      <c r="H9" s="8" t="n">
        <v>76</v>
      </c>
      <c r="I9" s="8" t="n">
        <v>146</v>
      </c>
      <c r="J9" s="8" t="n">
        <v>46.2</v>
      </c>
    </row>
    <row r="10">
      <c r="A10" s="8" t="inlineStr">
        <is>
          <t>Actinomycetota</t>
        </is>
      </c>
      <c r="B10" s="8" t="inlineStr">
        <is>
          <t>Bacteria</t>
        </is>
      </c>
      <c r="C10" s="8" t="n">
        <v>63</v>
      </c>
      <c r="D10" s="8" t="n">
        <v>0</v>
      </c>
      <c r="E10" s="8" t="n">
        <v>117</v>
      </c>
      <c r="F10" s="8" t="n">
        <v>94</v>
      </c>
      <c r="G10" s="8" t="n">
        <v>274</v>
      </c>
      <c r="H10" s="8" t="n">
        <v>63</v>
      </c>
      <c r="I10" s="8" t="n">
        <v>180</v>
      </c>
      <c r="J10" s="8" t="n">
        <v>65.7</v>
      </c>
    </row>
    <row r="11">
      <c r="A11" s="8" t="inlineStr">
        <is>
          <t>Bacillota</t>
        </is>
      </c>
      <c r="B11" s="8" t="inlineStr">
        <is>
          <t>Bacteria</t>
        </is>
      </c>
      <c r="C11" s="8" t="n">
        <v>169</v>
      </c>
      <c r="D11" s="8" t="n">
        <v>0</v>
      </c>
      <c r="E11" s="8" t="n">
        <v>279</v>
      </c>
      <c r="F11" s="8" t="n">
        <v>573</v>
      </c>
      <c r="G11" s="8" t="n">
        <v>1021</v>
      </c>
      <c r="H11" s="8" t="n">
        <v>169</v>
      </c>
      <c r="I11" s="8" t="n">
        <v>448</v>
      </c>
      <c r="J11" s="8" t="n">
        <v>43.9</v>
      </c>
    </row>
    <row r="12">
      <c r="A12" s="8" t="inlineStr">
        <is>
          <t>Pseudomonadota</t>
        </is>
      </c>
      <c r="B12" s="8" t="inlineStr">
        <is>
          <t>Bacteria</t>
        </is>
      </c>
      <c r="C12" s="8" t="n">
        <v>103</v>
      </c>
      <c r="D12" s="8" t="n">
        <v>0</v>
      </c>
      <c r="E12" s="8" t="n">
        <v>135</v>
      </c>
      <c r="F12" s="8" t="n">
        <v>175</v>
      </c>
      <c r="G12" s="8" t="n">
        <v>413</v>
      </c>
      <c r="H12" s="8" t="n">
        <v>103</v>
      </c>
      <c r="I12" s="8" t="n">
        <v>238</v>
      </c>
      <c r="J12" s="8" t="n">
        <v>57.6</v>
      </c>
    </row>
    <row r="13">
      <c r="A13" s="8" t="inlineStr">
        <is>
          <t>Ascomycota</t>
        </is>
      </c>
      <c r="B13" s="8" t="inlineStr">
        <is>
          <t>Fungi</t>
        </is>
      </c>
      <c r="C13" s="8" t="n">
        <v>13</v>
      </c>
      <c r="D13" s="8" t="n">
        <v>0</v>
      </c>
      <c r="E13" s="8" t="n">
        <v>118</v>
      </c>
      <c r="F13" s="8" t="n">
        <v>130</v>
      </c>
      <c r="G13" s="8" t="n">
        <v>261</v>
      </c>
      <c r="H13" s="8" t="n">
        <v>13</v>
      </c>
      <c r="I13" s="8" t="n">
        <v>131</v>
      </c>
      <c r="J13" s="8" t="n">
        <v>50.2</v>
      </c>
    </row>
    <row r="14">
      <c r="A14" s="8" t="inlineStr">
        <is>
          <t>Basidiomycota</t>
        </is>
      </c>
      <c r="B14" s="8" t="inlineStr">
        <is>
          <t>Fungi</t>
        </is>
      </c>
      <c r="C14" s="8" t="n">
        <v>54</v>
      </c>
      <c r="D14" s="8" t="n">
        <v>0</v>
      </c>
      <c r="E14" s="8" t="n">
        <v>204</v>
      </c>
      <c r="F14" s="8" t="n">
        <v>183</v>
      </c>
      <c r="G14" s="8" t="n">
        <v>441</v>
      </c>
      <c r="H14" s="8" t="n">
        <v>54</v>
      </c>
      <c r="I14" s="8" t="n">
        <v>258</v>
      </c>
      <c r="J14" s="8" t="n">
        <v>58.5</v>
      </c>
    </row>
    <row r="15">
      <c r="A15" s="8" t="inlineStr">
        <is>
          <t>Mucoromycota</t>
        </is>
      </c>
      <c r="B15" s="8" t="inlineStr">
        <is>
          <t>Fungi</t>
        </is>
      </c>
      <c r="C15" s="8" t="n">
        <v>1</v>
      </c>
      <c r="D15" s="8" t="n">
        <v>0</v>
      </c>
      <c r="E15" s="8" t="n">
        <v>12</v>
      </c>
      <c r="F15" s="8" t="n">
        <v>19</v>
      </c>
      <c r="G15" s="8" t="n">
        <v>32</v>
      </c>
      <c r="H15" s="8" t="n">
        <v>1</v>
      </c>
      <c r="I15" s="8" t="n">
        <v>13</v>
      </c>
      <c r="J15" s="8" t="n">
        <v>40.6</v>
      </c>
    </row>
    <row r="16">
      <c r="A16" s="8" t="inlineStr">
        <is>
          <t>Discosea</t>
        </is>
      </c>
      <c r="B16" s="8" t="inlineStr">
        <is>
          <t>Protists</t>
        </is>
      </c>
      <c r="C16" s="8" t="n">
        <v>13</v>
      </c>
      <c r="D16" s="8" t="n">
        <v>0</v>
      </c>
      <c r="E16" s="8" t="n">
        <v>8</v>
      </c>
      <c r="F16" s="8" t="n">
        <v>14</v>
      </c>
      <c r="G16" s="8" t="n">
        <v>35</v>
      </c>
      <c r="H16" s="8" t="n">
        <v>13</v>
      </c>
      <c r="I16" s="8" t="n">
        <v>21</v>
      </c>
      <c r="J16" s="8" t="n">
        <v>60</v>
      </c>
    </row>
    <row r="17">
      <c r="A17" s="8" t="inlineStr">
        <is>
          <t>Evosea</t>
        </is>
      </c>
      <c r="B17" s="8" t="inlineStr">
        <is>
          <t>Protists</t>
        </is>
      </c>
      <c r="C17" s="8" t="n">
        <v>27</v>
      </c>
      <c r="D17" s="8" t="n">
        <v>0</v>
      </c>
      <c r="E17" s="8" t="n">
        <v>325</v>
      </c>
      <c r="F17" s="8" t="n">
        <v>298</v>
      </c>
      <c r="G17" s="8" t="n">
        <v>650</v>
      </c>
      <c r="H17" s="8" t="n">
        <v>27</v>
      </c>
      <c r="I17" s="8" t="n">
        <v>352</v>
      </c>
      <c r="J17" s="8" t="n">
        <v>54.2</v>
      </c>
    </row>
    <row r="18">
      <c r="A18" s="8" t="inlineStr">
        <is>
          <t>Heterolobosea</t>
        </is>
      </c>
      <c r="B18" s="8" t="inlineStr">
        <is>
          <t>Protists</t>
        </is>
      </c>
      <c r="C18" s="8" t="n">
        <v>0</v>
      </c>
      <c r="D18" s="8" t="n">
        <v>0</v>
      </c>
      <c r="E18" s="8" t="n">
        <v>23</v>
      </c>
      <c r="F18" s="8" t="n">
        <v>8</v>
      </c>
      <c r="G18" s="8" t="n">
        <v>31</v>
      </c>
      <c r="H18" s="8" t="n">
        <v>0</v>
      </c>
      <c r="I18" s="8" t="n">
        <v>23</v>
      </c>
      <c r="J18" s="8" t="n">
        <v>74.2</v>
      </c>
    </row>
    <row r="19">
      <c r="A19" s="8" t="inlineStr">
        <is>
          <t>Chlorophyta</t>
        </is>
      </c>
      <c r="B19" s="8" t="inlineStr">
        <is>
          <t>Viridiplantae</t>
        </is>
      </c>
      <c r="C19" s="8" t="n">
        <v>10</v>
      </c>
      <c r="D19" s="8" t="n">
        <v>0</v>
      </c>
      <c r="E19" s="8" t="n">
        <v>73</v>
      </c>
      <c r="F19" s="8" t="n">
        <v>370</v>
      </c>
      <c r="G19" s="8" t="n">
        <v>453</v>
      </c>
      <c r="H19" s="8" t="n">
        <v>10</v>
      </c>
      <c r="I19" s="8" t="n">
        <v>83</v>
      </c>
      <c r="J19" s="8" t="n">
        <v>18.3</v>
      </c>
    </row>
    <row r="20">
      <c r="A20" s="8" t="inlineStr">
        <is>
          <t>Streptophyta</t>
        </is>
      </c>
      <c r="B20" s="8" t="inlineStr">
        <is>
          <t>Viridiplantae</t>
        </is>
      </c>
      <c r="C20" s="8" t="n">
        <v>827</v>
      </c>
      <c r="D20" s="8" t="n">
        <v>0</v>
      </c>
      <c r="E20" s="8" t="n">
        <v>2815</v>
      </c>
      <c r="F20" s="8" t="n">
        <v>1526</v>
      </c>
      <c r="G20" s="8" t="n">
        <v>5168</v>
      </c>
      <c r="H20" s="8" t="n">
        <v>827</v>
      </c>
      <c r="I20" s="8" t="n">
        <v>3642</v>
      </c>
      <c r="J20" s="8" t="n">
        <v>70.5</v>
      </c>
    </row>
    <row r="21">
      <c r="A21" s="21" t="inlineStr">
        <is>
          <t>TOTAL</t>
        </is>
      </c>
      <c r="B21" s="22" t="n"/>
      <c r="C21" s="21">
        <f>SUM(C5:C20)</f>
        <v/>
      </c>
      <c r="D21" s="21">
        <f>SUM(D5:D20)</f>
        <v/>
      </c>
      <c r="E21" s="21">
        <f>SUM(E5:E20)</f>
        <v/>
      </c>
      <c r="F21" s="21">
        <f>SUM(F5:F20)</f>
        <v/>
      </c>
      <c r="G21" s="21">
        <f>SUM(G5:G20)</f>
        <v/>
      </c>
      <c r="H21" s="21">
        <f>SUM(H5:H20)</f>
        <v/>
      </c>
      <c r="I21" s="21">
        <f>SUM(I5:I20)</f>
        <v/>
      </c>
      <c r="J21" s="21">
        <f>ROUND(100*I21/G21,1)</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outlineLevelCol="0"/>
  <cols>
    <col width="19" customWidth="1" min="1" max="1"/>
    <col width="15" customWidth="1" min="2" max="2"/>
    <col width="14" customWidth="1" min="3" max="3"/>
    <col width="14" customWidth="1" min="4" max="4"/>
    <col width="14" customWidth="1" min="5" max="5"/>
    <col width="14" customWidth="1" min="6" max="6"/>
    <col width="14" customWidth="1" min="7" max="7"/>
    <col width="14" customWidth="1" min="8" max="8"/>
    <col width="14" customWidth="1" min="9" max="9"/>
    <col width="20" customWidth="1" min="10" max="10"/>
  </cols>
  <sheetData>
    <row r="1">
      <c r="A1" s="5" t="inlineStr">
        <is>
          <t>Supplementary Table S5b. Negative-mode biomarker counts (5,697 biomarkers, 16 analysis phyla)</t>
        </is>
      </c>
    </row>
    <row r="2">
      <c r="A2" s="6" t="inlineStr">
        <is>
          <t>Strict release biomarker set. Negative mode has no Silver tier.</t>
        </is>
      </c>
    </row>
    <row r="3"/>
    <row r="4">
      <c r="A4" s="19" t="inlineStr">
        <is>
          <t>Phylum</t>
        </is>
      </c>
      <c r="B4" s="19" t="inlineStr">
        <is>
          <t>Kingdom</t>
        </is>
      </c>
      <c r="C4" s="20" t="inlineStr">
        <is>
          <t>Gold</t>
        </is>
      </c>
      <c r="D4" s="20" t="inlineStr">
        <is>
          <t>Silver</t>
        </is>
      </c>
      <c r="E4" s="20" t="inlineStr">
        <is>
          <t>Bronze</t>
        </is>
      </c>
      <c r="F4" s="20" t="inlineStr">
        <is>
          <t>Unidentified</t>
        </is>
      </c>
      <c r="G4" s="20" t="inlineStr">
        <is>
          <t>Total</t>
        </is>
      </c>
      <c r="H4" s="20" t="inlineStr">
        <is>
          <t>Gold+Silver</t>
        </is>
      </c>
      <c r="I4" s="20" t="inlineStr">
        <is>
          <t>Annotated</t>
        </is>
      </c>
      <c r="J4" s="20" t="inlineStr">
        <is>
          <t>Annotated %</t>
        </is>
      </c>
    </row>
    <row r="5">
      <c r="A5" s="8" t="inlineStr">
        <is>
          <t>Arthropoda</t>
        </is>
      </c>
      <c r="B5" s="8" t="inlineStr">
        <is>
          <t>Animalia</t>
        </is>
      </c>
      <c r="C5" s="8" t="n">
        <v>50</v>
      </c>
      <c r="D5" s="8" t="n">
        <v>0</v>
      </c>
      <c r="E5" s="8" t="n">
        <v>191</v>
      </c>
      <c r="F5" s="8" t="n">
        <v>512</v>
      </c>
      <c r="G5" s="8" t="n">
        <v>753</v>
      </c>
      <c r="H5" s="8" t="n">
        <v>50</v>
      </c>
      <c r="I5" s="8" t="n">
        <v>241</v>
      </c>
      <c r="J5" s="8" t="n">
        <v>32</v>
      </c>
    </row>
    <row r="6">
      <c r="A6" s="8" t="inlineStr">
        <is>
          <t>Mollusca</t>
        </is>
      </c>
      <c r="B6" s="8" t="inlineStr">
        <is>
          <t>Animalia</t>
        </is>
      </c>
      <c r="C6" s="8" t="n">
        <v>8</v>
      </c>
      <c r="D6" s="8" t="n">
        <v>0</v>
      </c>
      <c r="E6" s="8" t="n">
        <v>57</v>
      </c>
      <c r="F6" s="8" t="n">
        <v>262</v>
      </c>
      <c r="G6" s="8" t="n">
        <v>327</v>
      </c>
      <c r="H6" s="8" t="n">
        <v>8</v>
      </c>
      <c r="I6" s="8" t="n">
        <v>65</v>
      </c>
      <c r="J6" s="8" t="n">
        <v>19.9</v>
      </c>
    </row>
    <row r="7">
      <c r="A7" s="8" t="inlineStr">
        <is>
          <t>Nematoda</t>
        </is>
      </c>
      <c r="B7" s="8" t="inlineStr">
        <is>
          <t>Animalia</t>
        </is>
      </c>
      <c r="C7" s="8" t="n">
        <v>6</v>
      </c>
      <c r="D7" s="8" t="n">
        <v>0</v>
      </c>
      <c r="E7" s="8" t="n">
        <v>58</v>
      </c>
      <c r="F7" s="8" t="n">
        <v>185</v>
      </c>
      <c r="G7" s="8" t="n">
        <v>249</v>
      </c>
      <c r="H7" s="8" t="n">
        <v>6</v>
      </c>
      <c r="I7" s="8" t="n">
        <v>64</v>
      </c>
      <c r="J7" s="8" t="n">
        <v>25.7</v>
      </c>
    </row>
    <row r="8">
      <c r="A8" s="8" t="inlineStr">
        <is>
          <t>Methanobacteriota</t>
        </is>
      </c>
      <c r="B8" s="8" t="inlineStr">
        <is>
          <t>Archaea</t>
        </is>
      </c>
      <c r="C8" s="8" t="n">
        <v>0</v>
      </c>
      <c r="D8" s="8" t="n">
        <v>0</v>
      </c>
      <c r="E8" s="8" t="n">
        <v>10</v>
      </c>
      <c r="F8" s="8" t="n">
        <v>8</v>
      </c>
      <c r="G8" s="8" t="n">
        <v>18</v>
      </c>
      <c r="H8" s="8" t="n">
        <v>0</v>
      </c>
      <c r="I8" s="8" t="n">
        <v>10</v>
      </c>
      <c r="J8" s="8" t="n">
        <v>55.6</v>
      </c>
    </row>
    <row r="9">
      <c r="A9" s="8" t="inlineStr">
        <is>
          <t>Thermoproteota</t>
        </is>
      </c>
      <c r="B9" s="8" t="inlineStr">
        <is>
          <t>Archaea</t>
        </is>
      </c>
      <c r="C9" s="8" t="n">
        <v>0</v>
      </c>
      <c r="D9" s="8" t="n">
        <v>0</v>
      </c>
      <c r="E9" s="8" t="n">
        <v>2</v>
      </c>
      <c r="F9" s="8" t="n">
        <v>1</v>
      </c>
      <c r="G9" s="8" t="n">
        <v>3</v>
      </c>
      <c r="H9" s="8" t="n">
        <v>0</v>
      </c>
      <c r="I9" s="8" t="n">
        <v>2</v>
      </c>
      <c r="J9" s="8" t="n">
        <v>66.7</v>
      </c>
    </row>
    <row r="10">
      <c r="A10" s="8" t="inlineStr">
        <is>
          <t>Actinomycetota</t>
        </is>
      </c>
      <c r="B10" s="8" t="inlineStr">
        <is>
          <t>Bacteria</t>
        </is>
      </c>
      <c r="C10" s="8" t="n">
        <v>11</v>
      </c>
      <c r="D10" s="8" t="n">
        <v>0</v>
      </c>
      <c r="E10" s="8" t="n">
        <v>4</v>
      </c>
      <c r="F10" s="8" t="n">
        <v>31</v>
      </c>
      <c r="G10" s="8" t="n">
        <v>46</v>
      </c>
      <c r="H10" s="8" t="n">
        <v>11</v>
      </c>
      <c r="I10" s="8" t="n">
        <v>15</v>
      </c>
      <c r="J10" s="8" t="n">
        <v>32.6</v>
      </c>
    </row>
    <row r="11">
      <c r="A11" s="8" t="inlineStr">
        <is>
          <t>Bacillota</t>
        </is>
      </c>
      <c r="B11" s="8" t="inlineStr">
        <is>
          <t>Bacteria</t>
        </is>
      </c>
      <c r="C11" s="8" t="n">
        <v>35</v>
      </c>
      <c r="D11" s="8" t="n">
        <v>0</v>
      </c>
      <c r="E11" s="8" t="n">
        <v>43</v>
      </c>
      <c r="F11" s="8" t="n">
        <v>168</v>
      </c>
      <c r="G11" s="8" t="n">
        <v>246</v>
      </c>
      <c r="H11" s="8" t="n">
        <v>35</v>
      </c>
      <c r="I11" s="8" t="n">
        <v>78</v>
      </c>
      <c r="J11" s="8" t="n">
        <v>31.7</v>
      </c>
    </row>
    <row r="12">
      <c r="A12" s="8" t="inlineStr">
        <is>
          <t>Pseudomonadota</t>
        </is>
      </c>
      <c r="B12" s="8" t="inlineStr">
        <is>
          <t>Bacteria</t>
        </is>
      </c>
      <c r="C12" s="8" t="n">
        <v>35</v>
      </c>
      <c r="D12" s="8" t="n">
        <v>0</v>
      </c>
      <c r="E12" s="8" t="n">
        <v>30</v>
      </c>
      <c r="F12" s="8" t="n">
        <v>100</v>
      </c>
      <c r="G12" s="8" t="n">
        <v>165</v>
      </c>
      <c r="H12" s="8" t="n">
        <v>35</v>
      </c>
      <c r="I12" s="8" t="n">
        <v>65</v>
      </c>
      <c r="J12" s="8" t="n">
        <v>39.4</v>
      </c>
    </row>
    <row r="13">
      <c r="A13" s="8" t="inlineStr">
        <is>
          <t>Ascomycota</t>
        </is>
      </c>
      <c r="B13" s="8" t="inlineStr">
        <is>
          <t>Fungi</t>
        </is>
      </c>
      <c r="C13" s="8" t="n">
        <v>172</v>
      </c>
      <c r="D13" s="8" t="n">
        <v>0</v>
      </c>
      <c r="E13" s="8" t="n">
        <v>328</v>
      </c>
      <c r="F13" s="8" t="n">
        <v>437</v>
      </c>
      <c r="G13" s="8" t="n">
        <v>937</v>
      </c>
      <c r="H13" s="8" t="n">
        <v>172</v>
      </c>
      <c r="I13" s="8" t="n">
        <v>500</v>
      </c>
      <c r="J13" s="8" t="n">
        <v>53.4</v>
      </c>
    </row>
    <row r="14">
      <c r="A14" s="8" t="inlineStr">
        <is>
          <t>Basidiomycota</t>
        </is>
      </c>
      <c r="B14" s="8" t="inlineStr">
        <is>
          <t>Fungi</t>
        </is>
      </c>
      <c r="C14" s="8" t="n">
        <v>20</v>
      </c>
      <c r="D14" s="8" t="n">
        <v>0</v>
      </c>
      <c r="E14" s="8" t="n">
        <v>62</v>
      </c>
      <c r="F14" s="8" t="n">
        <v>72</v>
      </c>
      <c r="G14" s="8" t="n">
        <v>154</v>
      </c>
      <c r="H14" s="8" t="n">
        <v>20</v>
      </c>
      <c r="I14" s="8" t="n">
        <v>82</v>
      </c>
      <c r="J14" s="8" t="n">
        <v>53.2</v>
      </c>
    </row>
    <row r="15">
      <c r="A15" s="8" t="inlineStr">
        <is>
          <t>Mucoromycota</t>
        </is>
      </c>
      <c r="B15" s="8" t="inlineStr">
        <is>
          <t>Fungi</t>
        </is>
      </c>
      <c r="C15" s="8" t="n">
        <v>3</v>
      </c>
      <c r="D15" s="8" t="n">
        <v>0</v>
      </c>
      <c r="E15" s="8" t="n">
        <v>5</v>
      </c>
      <c r="F15" s="8" t="n">
        <v>9</v>
      </c>
      <c r="G15" s="8" t="n">
        <v>17</v>
      </c>
      <c r="H15" s="8" t="n">
        <v>3</v>
      </c>
      <c r="I15" s="8" t="n">
        <v>8</v>
      </c>
      <c r="J15" s="8" t="n">
        <v>47.1</v>
      </c>
    </row>
    <row r="16">
      <c r="A16" s="8" t="inlineStr">
        <is>
          <t>Discosea</t>
        </is>
      </c>
      <c r="B16" s="8" t="inlineStr">
        <is>
          <t>Protists</t>
        </is>
      </c>
      <c r="C16" s="8" t="n">
        <v>0</v>
      </c>
      <c r="D16" s="8" t="n">
        <v>0</v>
      </c>
      <c r="E16" s="8" t="n">
        <v>1</v>
      </c>
      <c r="F16" s="8" t="n">
        <v>7</v>
      </c>
      <c r="G16" s="8" t="n">
        <v>8</v>
      </c>
      <c r="H16" s="8" t="n">
        <v>0</v>
      </c>
      <c r="I16" s="8" t="n">
        <v>1</v>
      </c>
      <c r="J16" s="8" t="n">
        <v>12.5</v>
      </c>
    </row>
    <row r="17">
      <c r="A17" s="8" t="inlineStr">
        <is>
          <t>Evosea</t>
        </is>
      </c>
      <c r="B17" s="8" t="inlineStr">
        <is>
          <t>Protists</t>
        </is>
      </c>
      <c r="C17" s="8" t="n">
        <v>4</v>
      </c>
      <c r="D17" s="8" t="n">
        <v>0</v>
      </c>
      <c r="E17" s="8" t="n">
        <v>67</v>
      </c>
      <c r="F17" s="8" t="n">
        <v>369</v>
      </c>
      <c r="G17" s="8" t="n">
        <v>440</v>
      </c>
      <c r="H17" s="8" t="n">
        <v>4</v>
      </c>
      <c r="I17" s="8" t="n">
        <v>71</v>
      </c>
      <c r="J17" s="8" t="n">
        <v>16.1</v>
      </c>
    </row>
    <row r="18">
      <c r="A18" s="8" t="inlineStr">
        <is>
          <t>Heterolobosea</t>
        </is>
      </c>
      <c r="B18" s="8" t="inlineStr">
        <is>
          <t>Protists</t>
        </is>
      </c>
      <c r="C18" s="8" t="n">
        <v>0</v>
      </c>
      <c r="D18" s="8" t="n">
        <v>0</v>
      </c>
      <c r="E18" s="8" t="n">
        <v>99</v>
      </c>
      <c r="F18" s="8" t="n">
        <v>462</v>
      </c>
      <c r="G18" s="8" t="n">
        <v>561</v>
      </c>
      <c r="H18" s="8" t="n">
        <v>0</v>
      </c>
      <c r="I18" s="8" t="n">
        <v>99</v>
      </c>
      <c r="J18" s="8" t="n">
        <v>17.6</v>
      </c>
    </row>
    <row r="19">
      <c r="A19" s="8" t="inlineStr">
        <is>
          <t>Chlorophyta</t>
        </is>
      </c>
      <c r="B19" s="8" t="inlineStr">
        <is>
          <t>Viridiplantae</t>
        </is>
      </c>
      <c r="C19" s="8" t="n">
        <v>3</v>
      </c>
      <c r="D19" s="8" t="n">
        <v>0</v>
      </c>
      <c r="E19" s="8" t="n">
        <v>33</v>
      </c>
      <c r="F19" s="8" t="n">
        <v>280</v>
      </c>
      <c r="G19" s="8" t="n">
        <v>316</v>
      </c>
      <c r="H19" s="8" t="n">
        <v>3</v>
      </c>
      <c r="I19" s="8" t="n">
        <v>36</v>
      </c>
      <c r="J19" s="8" t="n">
        <v>11.4</v>
      </c>
    </row>
    <row r="20">
      <c r="A20" s="8" t="inlineStr">
        <is>
          <t>Streptophyta</t>
        </is>
      </c>
      <c r="B20" s="8" t="inlineStr">
        <is>
          <t>Viridiplantae</t>
        </is>
      </c>
      <c r="C20" s="8" t="n">
        <v>165</v>
      </c>
      <c r="D20" s="8" t="n">
        <v>0</v>
      </c>
      <c r="E20" s="8" t="n">
        <v>387</v>
      </c>
      <c r="F20" s="8" t="n">
        <v>905</v>
      </c>
      <c r="G20" s="8" t="n">
        <v>1457</v>
      </c>
      <c r="H20" s="8" t="n">
        <v>165</v>
      </c>
      <c r="I20" s="8" t="n">
        <v>552</v>
      </c>
      <c r="J20" s="8" t="n">
        <v>37.9</v>
      </c>
    </row>
    <row r="21">
      <c r="A21" s="21" t="inlineStr">
        <is>
          <t>TOTAL</t>
        </is>
      </c>
      <c r="B21" s="22" t="n"/>
      <c r="C21" s="21">
        <f>SUM(C5:C20)</f>
        <v/>
      </c>
      <c r="D21" s="21">
        <f>SUM(D5:D20)</f>
        <v/>
      </c>
      <c r="E21" s="21">
        <f>SUM(E5:E20)</f>
        <v/>
      </c>
      <c r="F21" s="21">
        <f>SUM(F5:F20)</f>
        <v/>
      </c>
      <c r="G21" s="21">
        <f>SUM(G5:G20)</f>
        <v/>
      </c>
      <c r="H21" s="21">
        <f>SUM(H5:H20)</f>
        <v/>
      </c>
      <c r="I21" s="21">
        <f>SUM(I5:I20)</f>
        <v/>
      </c>
      <c r="J21" s="21">
        <f>ROUND(100*I21/G21,1)</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outlineLevelCol="0"/>
  <cols>
    <col width="110" customWidth="1" min="1" max="1"/>
  </cols>
  <sheetData>
    <row r="1">
      <c r="A1" s="23" t="inlineStr">
        <is>
          <t>Supplementary Table S6. Literature-reported expected composition ranges by organism group</t>
        </is>
      </c>
    </row>
    <row r="2"/>
    <row r="3">
      <c r="A3" s="24" t="inlineStr">
        <is>
          <t>Coarse expectations used as a plausibility reference for the corrected ClimGrass composition (Fig. 6a). Each range is anchored to the soil-biology literature.</t>
        </is>
      </c>
    </row>
    <row r="4">
      <c r="A4" s="24" t="inlineStr">
        <is>
          <t>Caveat: these are order-of-magnitude expectations synthesised from the soil-biology literature on relative biomass/abundance; no single study reports a lipid-signal fraction per organism group for an entire soil food web. They serve as a coarse plausibility reference, not a quantitative ground truth.</t>
        </is>
      </c>
    </row>
    <row r="5">
      <c r="A5" s="24" t="n"/>
    </row>
    <row r="6">
      <c r="A6" s="12" t="inlineStr">
        <is>
          <t>Supplementary references for Table S6 (not in main reference list):</t>
        </is>
      </c>
    </row>
    <row r="7">
      <c r="A7" s="24" t="inlineStr">
        <is>
          <t>Bar-On, Y. M., Phillips, R. &amp; Milo, R. (2018). The biomass distribution on Earth. PNAS 115, 6506-6511.</t>
        </is>
      </c>
    </row>
    <row r="8">
      <c r="A8" s="24" t="inlineStr">
        <is>
          <t>Joergensen, R. G. &amp; Wichern, F. (2008). Quantitative assessment of the fungal contribution to microbial tissue in soil. Soil Biology and Biochemistry 40, 2977-2991.</t>
        </is>
      </c>
    </row>
    <row r="9">
      <c r="A9" s="24" t="inlineStr">
        <is>
          <t>Strickland, M. S. &amp; Rousk, J. (2010). Considering fungal:bacterial dominance in soils. Soil Biology and Biochemistry 42, 1385-1395.</t>
        </is>
      </c>
    </row>
    <row r="10">
      <c r="A10" s="24" t="inlineStr">
        <is>
          <t>Bates, S. T. et al. (2011). Examining the global distribution of dominant archaeal populations in soil. ISME Journal 5, 908-917.</t>
        </is>
      </c>
    </row>
    <row r="11">
      <c r="A11" s="24" t="inlineStr">
        <is>
          <t>Jackson, R. B. et al. (1996). A global analysis of root distributions for terrestrial biomes. Oecologia 108, 389-411.</t>
        </is>
      </c>
    </row>
    <row r="12">
      <c r="A12" s="24" t="inlineStr">
        <is>
          <t>Frozen 2026-06-09. Transcribed verbatim from soilmasst-v4_7-supplementary.md.</t>
        </is>
      </c>
    </row>
    <row r="13"/>
    <row r="14">
      <c r="A14" s="24" t="inlineStr">
        <is>
          <t>Strict-16 update 2026-08-12: organism-group labels conformed to the locked ecological_group vocabulary in taxonomy_policy.json (release ncbi-phylum-2026-08-04-v1): Plantae -&gt; Viridiplantae, Protozoa -&gt; Protists. Ranges, bases, and references are unchanged from the frozen 2026-06-09 version; these expectations are literature-derived and are not affected by the taxonomy correction.</t>
        </is>
      </c>
    </row>
    <row r="15"/>
    <row r="16">
      <c r="A16" s="25" t="inlineStr">
        <is>
          <t>Lipid-content conversion factors (new in strict-16 v2) — total lipid as % dry mass, ordinary states:</t>
        </is>
      </c>
    </row>
    <row r="17" ht="12" customHeight="1">
      <c r="A17" s="26" t="inlineStr">
        <is>
          <t>Taipale, S. J. et al. (2015). PLOS ONE 10: e0133974 — bacteria 7.3±0.8% DM (freshwater cultures).</t>
        </is>
      </c>
    </row>
    <row r="18" ht="12" customHeight="1">
      <c r="A18" s="26" t="inlineStr">
        <is>
          <t>Beck, A. E. et al. (2018). Processes 6: 38 — E. coli 6.7%, Synechococcus 9.0%, Alicyclobacillus 3.4% DM.</t>
        </is>
      </c>
    </row>
    <row r="19" ht="12" customHeight="1">
      <c r="A19" s="26" t="inlineStr">
        <is>
          <t>Neidhardt, F. C. &amp; Umbarger, H. E. (1996). In E. coli and Salmonella, 2nd ed., ASM Press — E. coli lipid 9.1% DM.</t>
        </is>
      </c>
    </row>
    <row r="20" ht="12" customHeight="1">
      <c r="A20" s="26" t="inlineStr">
        <is>
          <t>Jones, J. G. (1969). J. Gen. Microbiol. 59: 145-152 — soil fungi 10-20%, bacteria 2-20%, algae 2.5-15% DM.</t>
        </is>
      </c>
    </row>
    <row r="21" ht="12" customHeight="1">
      <c r="A21" s="26" t="inlineStr">
        <is>
          <t>Raju, K. S. et al. (1976). Lipids 11: 741-746 — thermophilic fungi 5.3-19.1% DM.</t>
        </is>
      </c>
    </row>
    <row r="22" ht="12" customHeight="1">
      <c r="A22" s="26" t="inlineStr">
        <is>
          <t>Weete, J. D. et al. (1985). Can. J. Microbiol. 31: 1120-1126 — Agaricus ~5.0%, Mucor ~3.4% DM.</t>
        </is>
      </c>
    </row>
    <row r="23" ht="12" customHeight="1">
      <c r="A23" s="26" t="inlineStr">
        <is>
          <t>Poorter, H. &amp; Bergkotte, M. (1992). Plant Cell Environ. 15: 221-229 — roots 1.6-2.6%, leaves 4.0-4.2%, stems 2.1-2.8% DM (24 herb species, incl. 11 grasses).</t>
        </is>
      </c>
    </row>
    <row r="24" ht="12" customHeight="1">
      <c r="A24" s="26" t="inlineStr">
        <is>
          <t>Hawke, J. C. (1963). J. Dairy Res. 30: 67-75 — ryegrass leafy 8.1%, mature 5.1% DM.</t>
        </is>
      </c>
    </row>
    <row r="25" ht="12" customHeight="1">
      <c r="A25" s="26" t="inlineStr">
        <is>
          <t>Hutzell, P. A. &amp; Krusberg, L. R. (1982). Comp. Biochem. Physiol. B 73: 517-520 — C. elegans 19.6%, C. briggsae 22.1% DM.</t>
        </is>
      </c>
    </row>
    <row r="26" ht="12" customHeight="1">
      <c r="A26" s="26" t="inlineStr">
        <is>
          <t>Convey, P. (1992). Exp. Appl. Acarol. 15: 219-231 — Antarctic microarthropods (incl. oribatid mite) total lipid 10-15% DM.</t>
        </is>
      </c>
    </row>
    <row r="27" ht="12" customHeight="1">
      <c r="A27" s="26" t="inlineStr">
        <is>
          <t>Dai, W. et al. (2021). J. Therm. Biol. 97: 102865 — Enchytraeus albidus 15-20% DM.</t>
        </is>
      </c>
    </row>
    <row r="28" ht="12" customHeight="1">
      <c r="A28" s="26" t="inlineStr">
        <is>
          <t>Kavle, R. R. et al. (2023). Foods 12: 1948 — Eisenia andrei crude fat 19.3% DM.</t>
        </is>
      </c>
    </row>
    <row r="29" ht="12" customHeight="1">
      <c r="A29" s="26" t="inlineStr">
        <is>
          <t>Bowers, B. &amp; Korn, E. D. (1968). J. Cell Biol. 39: 95-111 — Acanthamoeba castellanii trophozoite ~10% DM.</t>
        </is>
      </c>
    </row>
    <row r="30" ht="12" customHeight="1">
      <c r="A30" s="26" t="inlineStr">
        <is>
          <t>Finkel, Z. V. et al. (2016). PLOS ONE 11: e0155977 — microalgae compilation (n=699): median 17.3% exponential / 22.5% stationary DM.</t>
        </is>
      </c>
    </row>
    <row r="31" ht="12" customHeight="1">
      <c r="A31" s="26" t="inlineStr">
        <is>
          <t>Kates, M. et al. (1962). Can. J. Biochem. Physiol. 40: 83-94 — Halobacterium cutirubrum ~2% lipid (salt-free DM).</t>
        </is>
      </c>
    </row>
    <row r="32" ht="12" customHeight="1">
      <c r="A32" s="26" t="inlineStr">
        <is>
          <t>Langworthy, T. A. et al. (1974). J. Bacteriol. 119: 106-116 — Sulfolobus acidocaldarius ~2.5% DM.</t>
        </is>
      </c>
    </row>
    <row r="33" ht="12" customHeight="1">
      <c r="A33" s="26" t="inlineStr">
        <is>
          <t>Ferrante, G. et al. (1988). Biochim. Biophys. Acta 963: 162-172 — Methanothrix concilii ~10% DM.</t>
        </is>
      </c>
    </row>
    <row r="34" ht="12" customHeight="1">
      <c r="A34" s="26" t="inlineStr">
        <is>
          <t>Conversion: biomass_k = (lipid_signal_k / lipid_content_k) / sum_j(lipid_signal_j / lipid_content_j); renormalised to 100%. Using referenced midpoints: Bacteria 7, Fungi 10, Viridiplantae 2.5, Animalia 18, Protists 10, Archaea 6. Effect of alternative Protists 12% / Archaea 7%: &lt;1 percentage point (LIPID_CONTENT_REFERENCES_2026-08-20.md).</t>
        </is>
      </c>
    </row>
    <row r="35"/>
    <row r="36">
      <c r="A36" s="27" t="inlineStr">
        <is>
          <t>Strict-16 v2 update 2026-08-21: added lipid-content conversion factors (E3:F9) and lipid references (Notes rows 17-34). Biomass ranges unchanged. All values are total lipid %DM (gravimetric), not total fatty acids or PLFA-only.</t>
        </is>
      </c>
    </row>
  </sheetData>
  <mergeCells count="31">
    <mergeCell ref="A9:H9"/>
    <mergeCell ref="A30:H30"/>
    <mergeCell ref="A24:H24"/>
    <mergeCell ref="A36:H36"/>
    <mergeCell ref="A11:H11"/>
    <mergeCell ref="A6:H6"/>
    <mergeCell ref="A7:H7"/>
    <mergeCell ref="A25:H25"/>
    <mergeCell ref="A16:H16"/>
    <mergeCell ref="A27:H27"/>
    <mergeCell ref="A12:H12"/>
    <mergeCell ref="A18:H18"/>
    <mergeCell ref="A3:H3"/>
    <mergeCell ref="A21:H21"/>
    <mergeCell ref="A26:H26"/>
    <mergeCell ref="A33:H33"/>
    <mergeCell ref="A14:H14"/>
    <mergeCell ref="A5:H5"/>
    <mergeCell ref="A23:H23"/>
    <mergeCell ref="A32:H32"/>
    <mergeCell ref="A8:H8"/>
    <mergeCell ref="A22:H22"/>
    <mergeCell ref="A17:H17"/>
    <mergeCell ref="A4:H4"/>
    <mergeCell ref="A29:H29"/>
    <mergeCell ref="A20:H20"/>
    <mergeCell ref="A10:H10"/>
    <mergeCell ref="A28:H28"/>
    <mergeCell ref="A19:H19"/>
    <mergeCell ref="A31:H31"/>
    <mergeCell ref="A34:H3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outlineLevelCol="0"/>
  <cols>
    <col width="17" customWidth="1" min="1" max="1"/>
    <col width="15" customWidth="1" min="2" max="2"/>
    <col width="52" customWidth="1" min="3" max="3"/>
    <col width="46" customWidth="1" min="4" max="4"/>
    <col width="18" customWidth="1" min="5" max="5"/>
    <col width="48" customWidth="1" min="6" max="6"/>
  </cols>
  <sheetData>
    <row r="1">
      <c r="A1" s="23" t="inlineStr">
        <is>
          <t>Supplementary Table S6. Literature-reported expected composition ranges by organism group</t>
        </is>
      </c>
    </row>
    <row r="2"/>
    <row r="3">
      <c r="A3" s="28" t="inlineStr">
        <is>
          <t>Organism group</t>
        </is>
      </c>
      <c r="B3" s="28" t="inlineStr">
        <is>
          <t>Expected (%)</t>
        </is>
      </c>
      <c r="C3" s="28" t="inlineStr">
        <is>
          <t>Basis</t>
        </is>
      </c>
      <c r="D3" s="28" t="inlineStr">
        <is>
          <t>Key references</t>
        </is>
      </c>
      <c r="E3" s="28" t="inlineStr">
        <is>
          <t>Lipid content (% dry mass)</t>
        </is>
      </c>
      <c r="F3" s="28" t="inlineStr">
        <is>
          <t>Lipid content source</t>
        </is>
      </c>
    </row>
    <row r="4">
      <c r="A4" s="29" t="inlineStr">
        <is>
          <t>Bacteria</t>
        </is>
      </c>
      <c r="B4" s="30" t="inlineStr">
        <is>
          <t>35-50</t>
        </is>
      </c>
      <c r="C4" s="30" t="inlineStr">
        <is>
          <t>Dominant prokaryotic biomass in temperate grassland topsoil</t>
        </is>
      </c>
      <c r="D4" s="30" t="inlineStr">
        <is>
          <t>Bar-On et al. 2018; Joergensen 2022; Frostegard et al. 2011; Delgado-Baquerizo et al. 2018</t>
        </is>
      </c>
      <c r="E4" s="31" t="inlineStr">
        <is>
          <t>7</t>
        </is>
      </c>
      <c r="F4" s="29" t="inlineStr">
        <is>
          <t>Taipale et al. 2015 (7.3±0.8%); Beck et al. 2018</t>
        </is>
      </c>
    </row>
    <row r="5">
      <c r="A5" s="29" t="inlineStr">
        <is>
          <t>Fungi</t>
        </is>
      </c>
      <c r="B5" s="30" t="inlineStr">
        <is>
          <t>15-30</t>
        </is>
      </c>
      <c r="C5" s="30" t="inlineStr">
        <is>
          <t>Fungal biomass 10-60% of microbial biomass in arable/grassland soils</t>
        </is>
      </c>
      <c r="D5" s="30" t="inlineStr">
        <is>
          <t>Joergensen &amp; Wichern 2008; Strickland &amp; Rousk 2010; Frostegard et al. 2011</t>
        </is>
      </c>
      <c r="E5" s="31" t="inlineStr">
        <is>
          <t>10</t>
        </is>
      </c>
      <c r="F5" s="29" t="inlineStr">
        <is>
          <t>Jones 1969 (10-20%); Weete et al. 1985; Raju et al. 1976</t>
        </is>
      </c>
    </row>
    <row r="6">
      <c r="A6" s="29" t="inlineStr">
        <is>
          <t>Viridiplantae</t>
        </is>
      </c>
      <c r="B6" s="30" t="inlineStr">
        <is>
          <t>15-30</t>
        </is>
      </c>
      <c r="C6" s="30" t="inlineStr">
        <is>
          <t>Root material + exudates; grasslands have high root:shoot allocation</t>
        </is>
      </c>
      <c r="D6" s="30" t="inlineStr">
        <is>
          <t>Jackson et al. 1996; Bardgett &amp; van der Putten 2014</t>
        </is>
      </c>
      <c r="E6" s="31" t="inlineStr">
        <is>
          <t>2.5</t>
        </is>
      </c>
      <c r="F6" s="29" t="inlineStr">
        <is>
          <t>Poorter &amp; Bergkotte 1992 (roots 1.6-2.6%)</t>
        </is>
      </c>
    </row>
    <row r="7">
      <c r="A7" s="29" t="inlineStr">
        <is>
          <t>Archaea</t>
        </is>
      </c>
      <c r="B7" s="30" t="inlineStr">
        <is>
          <t>2-8</t>
        </is>
      </c>
      <c r="C7" s="30" t="inlineStr">
        <is>
          <t>Archaea average approximately 2% of soil prokaryotes, mainly ammonia-oxidising Thaumarchaeota</t>
        </is>
      </c>
      <c r="D7" s="30" t="inlineStr">
        <is>
          <t>Bates et al. 2011; Leininger et al. 2006</t>
        </is>
      </c>
      <c r="E7" s="31" t="inlineStr">
        <is>
          <t>6</t>
        </is>
      </c>
      <c r="F7" s="29" t="inlineStr">
        <is>
          <t>Kates et al. 1962 (~2%); Langworthy et al. 1974 (~2.5%); Ferrante et al. 1988 (~10%); midpoint 5-7% assumed</t>
        </is>
      </c>
    </row>
    <row r="8">
      <c r="A8" s="29" t="inlineStr">
        <is>
          <t>Animalia</t>
        </is>
      </c>
      <c r="B8" s="30" t="inlineStr">
        <is>
          <t>1-5</t>
        </is>
      </c>
      <c r="C8" s="30" t="inlineStr">
        <is>
          <t>Soil meso/microfauna are a small fraction of soil biomass</t>
        </is>
      </c>
      <c r="D8" s="30" t="inlineStr">
        <is>
          <t>Bar-On et al. 2018; van den Hoogen et al. 2019</t>
        </is>
      </c>
      <c r="E8" s="31" t="inlineStr">
        <is>
          <t>18</t>
        </is>
      </c>
      <c r="F8" s="29" t="inlineStr">
        <is>
          <t>Hutzell &amp; Krusberg 1982 (19.6-22.1% nematodes); Convey 1992 (mites 10-15%)*; Dai et al. 2021; Kavle et al. 2023</t>
        </is>
      </c>
    </row>
    <row r="9">
      <c r="A9" s="29" t="inlineStr">
        <is>
          <t>Protists</t>
        </is>
      </c>
      <c r="B9" s="30" t="inlineStr">
        <is>
          <t>&lt;1</t>
        </is>
      </c>
      <c r="C9" s="30" t="inlineStr">
        <is>
          <t>Protists a minor biomass fraction, difficult to resolve biochemically</t>
        </is>
      </c>
      <c r="D9" s="30" t="inlineStr">
        <is>
          <t>Geisen et al. 2018; Adl &amp; Coleman 2005</t>
        </is>
      </c>
      <c r="E9" s="31" t="inlineStr">
        <is>
          <t>10</t>
        </is>
      </c>
      <c r="F9" s="29" t="inlineStr">
        <is>
          <t>Bowers &amp; Korn 1968 (Acanthamoeba ~10%); Finkel et al. 2016 (algae median 17-22%)*</t>
        </is>
      </c>
    </row>
    <row r="10"/>
    <row r="11" ht="30" customHeight="1">
      <c r="A11" s="27" t="inlineStr">
        <is>
          <t>* Lipid content values are total solvent-extractable lipid as % dry mass for ordinary physiological states and are used as conversion factors (biomass = lipid signal / lipid content, renormalised). Mite value (10-15%) is the only direct %DM for mites; collembola/insect values higher. Algal median 17-22% is microalgae-specific; heterotrophic protists use Acanthamoeba 10%. See Notes for full citations.</t>
        </is>
      </c>
    </row>
  </sheetData>
  <mergeCells count="2">
    <mergeCell ref="A11:F1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outlineLevelCol="0"/>
  <cols>
    <col width="110" customWidth="1" min="1" max="1"/>
  </cols>
  <sheetData>
    <row r="1">
      <c r="A1" s="32" t="inlineStr">
        <is>
          <t>Supplementary Table S7. Empirical lipid-class response factors (RIE) used in the ClimGrass quantification correction</t>
        </is>
      </c>
    </row>
    <row r="2">
      <c r="A2" s="12" t="inlineStr">
        <is>
          <t>What this table is:</t>
        </is>
      </c>
    </row>
    <row r="3">
      <c r="A3" s="11" t="inlineStr">
        <is>
          <t>Empirically measured relative ionization efficiencies (RIE), per lipid class and adduct, that the adopted ClimGrass decomposition pipeline uses to correct for differential lipid-class response under electrospray ionization. The correction divides each detected feature's intensity by its class/adduct RIE (expressed relative to LPE), so classes that ionize strongly (high RIE, e.g. PC, SM) are scaled down and classes that ionize weakly (low RIE, e.g. MG, DG, SQDG) are scaled toward a common LPE reference.</t>
        </is>
      </c>
    </row>
    <row r="4">
      <c r="A4" s="12" t="inlineStr">
        <is>
          <t>Adopted pipeline configuration (Figure 5 v2, positive mode):</t>
        </is>
      </c>
    </row>
    <row r="5">
      <c r="A5" s="11" t="inlineStr">
        <is>
          <t>IS normalization + RIE correction under Rule A + ArchLips archaeal restriction. Composition is read from a held-out mixture benchmark (marker-panel estimator as the provenance-of-signal readout; fc-weighted BC with rules as the living-community readout). The RIE correction uses the M+H and M+NH4 rows.</t>
        </is>
      </c>
    </row>
    <row r="6">
      <c r="A6" s="12" t="inlineStr">
        <is>
          <t>How the applied factor is derived (Rule A calibration gate):</t>
        </is>
      </c>
    </row>
    <row r="7">
      <c r="A7" s="11" t="inlineStr">
        <is>
          <t>1. Mean RIE relative to LPE is taken across all measured standards within each (lipid class, adduct) group (framework/corrections.py: groupby(class, adduct).mean()).</t>
        </is>
      </c>
    </row>
    <row r="8">
      <c r="A8" s="11" t="inlineStr">
        <is>
          <t>2. Rule A calibration gate: a class is used for correction only if its mean RIE falls inside the trusted window [0.20, 100]. In-window classes are corrected by factor = 1 / RIE. Classes whose RIE falls outside the window (below 0.20 or above 100) are treated as UNCALIBRATED and left uncorrected (factor = 1.0).</t>
        </is>
      </c>
    </row>
    <row r="9">
      <c r="A9" s="11" t="inlineStr">
        <is>
          <t>3. This replaces the hard floor/ceiling clip used in the originally submitted Fig. 6a pipeline, which set out-of-range RIE to the 0.20 floor (5x amplification) or the 100 ceiling (0.01x suppression). Rule A applies no amplification to out-of-range classes at all.</t>
        </is>
      </c>
    </row>
    <row r="10">
      <c r="A10" s="12" t="inlineStr">
        <is>
          <t>Why Rule A (Supplementary Method 8, revised):</t>
        </is>
      </c>
    </row>
    <row r="11">
      <c r="A11" s="33" t="inlineStr">
        <is>
          <t>Even with a 0.20 floor, the lowest-RIE classes were amplified 5x, concentrating leverage in a handful of noise-level features (MG RIE 0.0005, DG 0.03) and previously flipping the published Actinomycetota drought direction. A 5x extrapolation of a standard whose ionization efficiency sits far outside the calibrated range is not trustworthy, so Rule A declines to correct those classes rather than amplifying them. This preserves the published treatment-effect directions while removing the floor-amplification artifact.</t>
        </is>
      </c>
    </row>
    <row r="12">
      <c r="A12" s="11" t="inlineStr">
        <is>
          <t>Effect on this table: 16 of 57 (class, adduct) groups fall outside the window and are uncalibrated under Rule A (15 below 0.20, previously 5x; and LPC M+H above 100, previously 0.01x). The 41 in-window groups are unchanged (factor = 1 / RIE). The 'Uncapped factor' column shows the naive 1 / RIE that Rule A declines to apply.</t>
        </is>
      </c>
    </row>
    <row r="13">
      <c r="A13" s="11" t="inlineStr">
        <is>
          <t>Adduct anchors: within M+H and M-H, RIE is normalized to LPE = 1.0. The formate (M+HCOO) and ammonium (M+NH4) adducts have no LPE standard, so those adduct groups are normalized to their own in-adduct anchor (HexCer = 1.0 for M+HCOO; PS = 1.0 for M+NH4); the column name 'RIE relative to LPE' is retained from the source. The positive-mode ClimGrass correction (Fig. 5) uses the M+H and M+NH4 rows; the M-H / M+HCOO rows are the negative-mode equivalents.</t>
        </is>
      </c>
    </row>
    <row r="14">
      <c r="A14" s="11" t="inlineStr">
        <is>
          <t>Sheets: 'RIE_all_adducts' = full per-(class, adduct) table (all four adducts). 'RIE_positive_mode' = the M+H and M+NH4 rows that underpin the adopted positive-mode correction.</t>
        </is>
      </c>
    </row>
    <row r="15">
      <c r="A15" s="11" t="inlineStr">
        <is>
          <t>Underlying factors: Samrat et al. (2025), Soil Biology &amp; Biochemistry, Supplementary Table S10.</t>
        </is>
      </c>
    </row>
    <row r="16">
      <c r="A16" s="11" t="inlineStr">
        <is>
          <t>Source file: analysis/analysis-19/00_inputs/rie_table_s10.csv (109 standard measurements). RIE aggregation + calibration window: analysis-19/framework/corrections.py. Rule A (out-of-range -&gt; uncalibrated 1.0): paper2_repro/scripts/climgrass_strict16_rulefix.py (make_rule_a). Adopted in figure5_redesign_v2.py. Window bounds RIE_floor = 0.20, RIE_ceiling = 100.</t>
        </is>
      </c>
    </row>
    <row r="17">
      <c r="A17" s="33" t="inlineStr">
        <is>
          <t>Strict-16 rebuild 2026-08-12: rebuilt to document the Figure 5 v2 correction (Rule A) rather than the submitted hard-floor pipeline. The measured RIE values and log10(RIE) are unchanged and reproduce exactly from the 109-standard source (max |delta| 5e-15); only the out-of-range handling and the derived factor columns changed. RIE is a lipid-class property with no taxonomic content, so this table is otherwise unaffected by the strict-phyla correction.</t>
        </is>
      </c>
    </row>
  </sheetData>
  <mergeCells count="17">
    <mergeCell ref="A9:H9"/>
    <mergeCell ref="A4:H4"/>
    <mergeCell ref="A12:H12"/>
    <mergeCell ref="A3:H3"/>
    <mergeCell ref="A5:H5"/>
    <mergeCell ref="A15:H15"/>
    <mergeCell ref="A7:H7"/>
    <mergeCell ref="A2:H2"/>
    <mergeCell ref="A16:H16"/>
    <mergeCell ref="A10:H10"/>
    <mergeCell ref="A13:H13"/>
    <mergeCell ref="A11:H11"/>
    <mergeCell ref="A14:H14"/>
    <mergeCell ref="A1:H1"/>
    <mergeCell ref="A8:H8"/>
    <mergeCell ref="A6:H6"/>
    <mergeCell ref="A17:H1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outlineLevelCol="0"/>
  <cols>
    <col width="13" customWidth="1" min="1" max="1"/>
    <col width="9" customWidth="1" min="2" max="2"/>
    <col width="15" customWidth="1" min="3" max="3"/>
    <col width="12" customWidth="1" min="4" max="4"/>
    <col width="18" customWidth="1" min="5" max="5"/>
    <col width="12" customWidth="1" min="6" max="6"/>
    <col width="20" customWidth="1" min="7" max="7"/>
    <col width="20" customWidth="1" min="8" max="8"/>
    <col width="18" customWidth="1" min="9" max="9"/>
    <col width="18" customWidth="1" min="10" max="10"/>
  </cols>
  <sheetData>
    <row r="1">
      <c r="A1" s="34" t="inlineStr">
        <is>
          <t>Supplementary Table S7. Empirical response (RIE) factors - RIE all adducts</t>
        </is>
      </c>
    </row>
    <row r="2">
      <c r="A2" s="11" t="inlineStr">
        <is>
          <t>RIE relative to LPE. Rule A calibration gate (Figure 5 v2): classes with RIE inside the trusted window [0.20, 100] are corrected by 1 / RIE; classes outside the window are treated as uncalibrated and left uncorrected (factor 1.0).</t>
        </is>
      </c>
    </row>
    <row r="3">
      <c r="A3" s="12" t="inlineStr">
        <is>
          <t>Lipid class</t>
        </is>
      </c>
      <c r="B3" s="12" t="inlineStr">
        <is>
          <t>Adduct</t>
        </is>
      </c>
      <c r="C3" s="12" t="inlineStr">
        <is>
          <t>Ionization mode</t>
        </is>
      </c>
      <c r="D3" s="12" t="inlineStr">
        <is>
          <t>n standards averaged</t>
        </is>
      </c>
      <c r="E3" s="12" t="inlineStr">
        <is>
          <t>RIE relative to LPE</t>
        </is>
      </c>
      <c r="F3" s="12" t="inlineStr">
        <is>
          <t>log10(RIE)</t>
        </is>
      </c>
      <c r="G3" s="12" t="inlineStr">
        <is>
          <t>RIE in calibrated window [0.20, 100]?</t>
        </is>
      </c>
      <c r="H3" s="12" t="inlineStr">
        <is>
          <t>Correction status (Rule A)</t>
        </is>
      </c>
      <c r="I3" s="12" t="inlineStr">
        <is>
          <t>Applied correction factor</t>
        </is>
      </c>
      <c r="J3" s="12" t="inlineStr">
        <is>
          <t>Uncapped factor (1 / RIE)</t>
        </is>
      </c>
    </row>
    <row r="4">
      <c r="A4" s="8" t="inlineStr">
        <is>
          <t>MG</t>
        </is>
      </c>
      <c r="B4" s="8" t="inlineStr">
        <is>
          <t>M+H</t>
        </is>
      </c>
      <c r="C4" s="8" t="inlineStr">
        <is>
          <t>Positive</t>
        </is>
      </c>
      <c r="D4" s="8" t="n">
        <v>1</v>
      </c>
      <c r="E4" s="8" t="n">
        <v>0.0004827168141934</v>
      </c>
      <c r="F4" s="8" t="n">
        <v>-3.316307573391312</v>
      </c>
      <c r="G4" s="8" t="inlineStr">
        <is>
          <t>no</t>
        </is>
      </c>
      <c r="H4" s="8" t="inlineStr">
        <is>
          <t>uncalibrated</t>
        </is>
      </c>
      <c r="I4" s="35" t="n">
        <v>1</v>
      </c>
      <c r="J4" s="8" t="n">
        <v>2071.607970961109</v>
      </c>
    </row>
    <row r="5">
      <c r="A5" s="8" t="inlineStr">
        <is>
          <t>SQDG</t>
        </is>
      </c>
      <c r="B5" s="8" t="inlineStr">
        <is>
          <t>M+H</t>
        </is>
      </c>
      <c r="C5" s="8" t="inlineStr">
        <is>
          <t>Positive</t>
        </is>
      </c>
      <c r="D5" s="8" t="n">
        <v>1</v>
      </c>
      <c r="E5" s="8" t="n">
        <v>0.0009654242916175</v>
      </c>
      <c r="F5" s="8" t="n">
        <v>-3.015281777836871</v>
      </c>
      <c r="G5" s="8" t="inlineStr">
        <is>
          <t>no</t>
        </is>
      </c>
      <c r="H5" s="8" t="inlineStr">
        <is>
          <t>uncalibrated</t>
        </is>
      </c>
      <c r="I5" s="35" t="n">
        <v>1</v>
      </c>
      <c r="J5" s="8" t="n">
        <v>1035.81400290288</v>
      </c>
    </row>
    <row r="6">
      <c r="A6" s="8" t="inlineStr">
        <is>
          <t>MGDG</t>
        </is>
      </c>
      <c r="B6" s="8" t="inlineStr">
        <is>
          <t>M+H</t>
        </is>
      </c>
      <c r="C6" s="8" t="inlineStr">
        <is>
          <t>Positive</t>
        </is>
      </c>
      <c r="D6" s="8" t="n">
        <v>1</v>
      </c>
      <c r="E6" s="8" t="n">
        <v>0.0025911255260585</v>
      </c>
      <c r="F6" s="8" t="n">
        <v>-2.586511547278925</v>
      </c>
      <c r="G6" s="8" t="inlineStr">
        <is>
          <t>no</t>
        </is>
      </c>
      <c r="H6" s="8" t="inlineStr">
        <is>
          <t>uncalibrated</t>
        </is>
      </c>
      <c r="I6" s="35" t="n">
        <v>1</v>
      </c>
      <c r="J6" s="8" t="n">
        <v>385.9326728648124</v>
      </c>
    </row>
    <row r="7">
      <c r="A7" s="8" t="inlineStr">
        <is>
          <t>TG</t>
        </is>
      </c>
      <c r="B7" s="8" t="inlineStr">
        <is>
          <t>M+H</t>
        </is>
      </c>
      <c r="C7" s="8" t="inlineStr">
        <is>
          <t>Positive</t>
        </is>
      </c>
      <c r="D7" s="8" t="n">
        <v>1</v>
      </c>
      <c r="E7" s="8" t="n">
        <v>0.0060515052824156</v>
      </c>
      <c r="F7" s="8" t="n">
        <v>-2.218136583275918</v>
      </c>
      <c r="G7" s="8" t="inlineStr">
        <is>
          <t>no</t>
        </is>
      </c>
      <c r="H7" s="8" t="inlineStr">
        <is>
          <t>uncalibrated</t>
        </is>
      </c>
      <c r="I7" s="35" t="n">
        <v>1</v>
      </c>
      <c r="J7" s="8" t="n">
        <v>165.2481413022623</v>
      </c>
    </row>
    <row r="8">
      <c r="A8" s="8" t="inlineStr">
        <is>
          <t>DG</t>
        </is>
      </c>
      <c r="B8" s="8" t="inlineStr">
        <is>
          <t>M+H</t>
        </is>
      </c>
      <c r="C8" s="8" t="inlineStr">
        <is>
          <t>Positive</t>
        </is>
      </c>
      <c r="D8" s="8" t="n">
        <v>2</v>
      </c>
      <c r="E8" s="8" t="n">
        <v>0.03234213678748555</v>
      </c>
      <c r="F8" s="8" t="n">
        <v>-1.490231290417317</v>
      </c>
      <c r="G8" s="8" t="inlineStr">
        <is>
          <t>no</t>
        </is>
      </c>
      <c r="H8" s="8" t="inlineStr">
        <is>
          <t>uncalibrated</t>
        </is>
      </c>
      <c r="I8" s="35" t="n">
        <v>1</v>
      </c>
      <c r="J8" s="8" t="n">
        <v>30.91941656702594</v>
      </c>
    </row>
    <row r="9">
      <c r="A9" s="8" t="inlineStr">
        <is>
          <t>CE</t>
        </is>
      </c>
      <c r="B9" s="8" t="inlineStr">
        <is>
          <t>M+H</t>
        </is>
      </c>
      <c r="C9" s="8" t="inlineStr">
        <is>
          <t>Positive</t>
        </is>
      </c>
      <c r="D9" s="8" t="n">
        <v>1</v>
      </c>
      <c r="E9" s="8" t="n">
        <v>0.1055441840973451</v>
      </c>
      <c r="F9" s="8" t="n">
        <v>-0.9765656930433946</v>
      </c>
      <c r="G9" s="8" t="inlineStr">
        <is>
          <t>no</t>
        </is>
      </c>
      <c r="H9" s="8" t="inlineStr">
        <is>
          <t>uncalibrated</t>
        </is>
      </c>
      <c r="I9" s="35" t="n">
        <v>1</v>
      </c>
      <c r="J9" s="8" t="n">
        <v>9.47470491673595</v>
      </c>
    </row>
    <row r="10">
      <c r="A10" s="8" t="inlineStr">
        <is>
          <t>PG</t>
        </is>
      </c>
      <c r="B10" s="8" t="inlineStr">
        <is>
          <t>M+H</t>
        </is>
      </c>
      <c r="C10" s="8" t="inlineStr">
        <is>
          <t>Positive</t>
        </is>
      </c>
      <c r="D10" s="8" t="n">
        <v>2</v>
      </c>
      <c r="E10" s="8" t="n">
        <v>0.1286174268722725</v>
      </c>
      <c r="F10" s="8" t="n">
        <v>-0.8907001831870212</v>
      </c>
      <c r="G10" s="8" t="inlineStr">
        <is>
          <t>no</t>
        </is>
      </c>
      <c r="H10" s="8" t="inlineStr">
        <is>
          <t>uncalibrated</t>
        </is>
      </c>
      <c r="I10" s="35" t="n">
        <v>1</v>
      </c>
      <c r="J10" s="8" t="n">
        <v>7.774996159681228</v>
      </c>
    </row>
    <row r="11">
      <c r="A11" s="8" t="inlineStr">
        <is>
          <t>PI</t>
        </is>
      </c>
      <c r="B11" s="8" t="inlineStr">
        <is>
          <t>M+H</t>
        </is>
      </c>
      <c r="C11" s="8" t="inlineStr">
        <is>
          <t>Positive</t>
        </is>
      </c>
      <c r="D11" s="8" t="n">
        <v>2</v>
      </c>
      <c r="E11" s="8" t="n">
        <v>0.2637555321986821</v>
      </c>
      <c r="F11" s="8" t="n">
        <v>-0.5787984223931579</v>
      </c>
      <c r="G11" s="8" t="inlineStr">
        <is>
          <t>yes</t>
        </is>
      </c>
      <c r="H11" s="8" t="inlineStr">
        <is>
          <t>calibrated</t>
        </is>
      </c>
      <c r="I11" s="35" t="n">
        <v>3.791389669304524</v>
      </c>
      <c r="J11" s="8" t="n">
        <v>3.791389669304524</v>
      </c>
    </row>
    <row r="12">
      <c r="A12" s="8" t="inlineStr">
        <is>
          <t>CERP</t>
        </is>
      </c>
      <c r="B12" s="8" t="inlineStr">
        <is>
          <t>M+H</t>
        </is>
      </c>
      <c r="C12" s="8" t="inlineStr">
        <is>
          <t>Positive</t>
        </is>
      </c>
      <c r="D12" s="8" t="n">
        <v>1</v>
      </c>
      <c r="E12" s="8" t="n">
        <v>0.444418829065429</v>
      </c>
      <c r="F12" s="8" t="n">
        <v>-0.3522075492226546</v>
      </c>
      <c r="G12" s="8" t="inlineStr">
        <is>
          <t>yes</t>
        </is>
      </c>
      <c r="H12" s="8" t="inlineStr">
        <is>
          <t>calibrated</t>
        </is>
      </c>
      <c r="I12" s="35" t="n">
        <v>2.250129685330628</v>
      </c>
      <c r="J12" s="8" t="n">
        <v>2.250129685330628</v>
      </c>
    </row>
    <row r="13">
      <c r="A13" s="8" t="inlineStr">
        <is>
          <t>LPA</t>
        </is>
      </c>
      <c r="B13" s="8" t="inlineStr">
        <is>
          <t>M+H</t>
        </is>
      </c>
      <c r="C13" s="8" t="inlineStr">
        <is>
          <t>Positive</t>
        </is>
      </c>
      <c r="D13" s="8" t="n">
        <v>1</v>
      </c>
      <c r="E13" s="8" t="n">
        <v>0.8116349052031719</v>
      </c>
      <c r="F13" s="8" t="n">
        <v>-0.09063928395121579</v>
      </c>
      <c r="G13" s="8" t="inlineStr">
        <is>
          <t>yes</t>
        </is>
      </c>
      <c r="H13" s="8" t="inlineStr">
        <is>
          <t>calibrated</t>
        </is>
      </c>
      <c r="I13" s="35" t="n">
        <v>1.232081066978848</v>
      </c>
      <c r="J13" s="8" t="n">
        <v>1.232081066978848</v>
      </c>
    </row>
    <row r="14">
      <c r="A14" s="8" t="inlineStr">
        <is>
          <t>HEXCER</t>
        </is>
      </c>
      <c r="B14" s="8" t="inlineStr">
        <is>
          <t>M+H</t>
        </is>
      </c>
      <c r="C14" s="8" t="inlineStr">
        <is>
          <t>Positive</t>
        </is>
      </c>
      <c r="D14" s="8" t="n">
        <v>1</v>
      </c>
      <c r="E14" s="8" t="n">
        <v>1.441419521499908</v>
      </c>
      <c r="F14" s="8" t="n">
        <v>0.1587903995204805</v>
      </c>
      <c r="G14" s="8" t="inlineStr">
        <is>
          <t>yes</t>
        </is>
      </c>
      <c r="H14" s="8" t="inlineStr">
        <is>
          <t>calibrated</t>
        </is>
      </c>
      <c r="I14" s="35" t="n">
        <v>0.693760549988544</v>
      </c>
      <c r="J14" s="8" t="n">
        <v>0.693760549988544</v>
      </c>
    </row>
    <row r="15">
      <c r="A15" s="8" t="inlineStr">
        <is>
          <t>CER</t>
        </is>
      </c>
      <c r="B15" s="8" t="inlineStr">
        <is>
          <t>M+H</t>
        </is>
      </c>
      <c r="C15" s="8" t="inlineStr">
        <is>
          <t>Positive</t>
        </is>
      </c>
      <c r="D15" s="8" t="n">
        <v>2</v>
      </c>
      <c r="E15" s="8" t="n">
        <v>3.781754094087202</v>
      </c>
      <c r="F15" s="8" t="n">
        <v>0.5776932857324281</v>
      </c>
      <c r="G15" s="8" t="inlineStr">
        <is>
          <t>yes</t>
        </is>
      </c>
      <c r="H15" s="8" t="inlineStr">
        <is>
          <t>calibrated</t>
        </is>
      </c>
      <c r="I15" s="35" t="n">
        <v>0.2644275579851971</v>
      </c>
      <c r="J15" s="8" t="n">
        <v>0.2644275579851971</v>
      </c>
    </row>
    <row r="16">
      <c r="A16" s="8" t="inlineStr">
        <is>
          <t>LPI</t>
        </is>
      </c>
      <c r="B16" s="8" t="inlineStr">
        <is>
          <t>M+H</t>
        </is>
      </c>
      <c r="C16" s="8" t="inlineStr">
        <is>
          <t>Positive</t>
        </is>
      </c>
      <c r="D16" s="8" t="n">
        <v>1</v>
      </c>
      <c r="E16" s="8" t="n">
        <v>4.014572906833012</v>
      </c>
      <c r="F16" s="8" t="n">
        <v>0.6036393493477593</v>
      </c>
      <c r="G16" s="8" t="inlineStr">
        <is>
          <t>yes</t>
        </is>
      </c>
      <c r="H16" s="8" t="inlineStr">
        <is>
          <t>calibrated</t>
        </is>
      </c>
      <c r="I16" s="35" t="n">
        <v>0.2490924995528037</v>
      </c>
      <c r="J16" s="8" t="n">
        <v>0.2490924995528037</v>
      </c>
    </row>
    <row r="17">
      <c r="A17" s="8" t="inlineStr">
        <is>
          <t>LPG</t>
        </is>
      </c>
      <c r="B17" s="8" t="inlineStr">
        <is>
          <t>M+H</t>
        </is>
      </c>
      <c r="C17" s="8" t="inlineStr">
        <is>
          <t>Positive</t>
        </is>
      </c>
      <c r="D17" s="8" t="n">
        <v>1</v>
      </c>
      <c r="E17" s="8" t="n">
        <v>4.860680602561957</v>
      </c>
      <c r="F17" s="8" t="n">
        <v>0.686697084332677</v>
      </c>
      <c r="G17" s="8" t="inlineStr">
        <is>
          <t>yes</t>
        </is>
      </c>
      <c r="H17" s="8" t="inlineStr">
        <is>
          <t>calibrated</t>
        </is>
      </c>
      <c r="I17" s="35" t="n">
        <v>0.2057325057468129</v>
      </c>
      <c r="J17" s="8" t="n">
        <v>0.2057325057468129</v>
      </c>
    </row>
    <row r="18">
      <c r="A18" s="8" t="inlineStr">
        <is>
          <t>LPE</t>
        </is>
      </c>
      <c r="B18" s="8" t="inlineStr">
        <is>
          <t>M+H</t>
        </is>
      </c>
      <c r="C18" s="8" t="inlineStr">
        <is>
          <t>Positive</t>
        </is>
      </c>
      <c r="D18" s="8" t="n">
        <v>3</v>
      </c>
      <c r="E18" s="8" t="n">
        <v>6.141720268092835</v>
      </c>
      <c r="F18" s="8" t="n">
        <v>0.7882900321021227</v>
      </c>
      <c r="G18" s="8" t="inlineStr">
        <is>
          <t>yes</t>
        </is>
      </c>
      <c r="H18" s="8" t="inlineStr">
        <is>
          <t>calibrated</t>
        </is>
      </c>
      <c r="I18" s="35" t="n">
        <v>0.1628208313548813</v>
      </c>
      <c r="J18" s="8" t="n">
        <v>0.1628208313548813</v>
      </c>
    </row>
    <row r="19">
      <c r="A19" s="8" t="inlineStr">
        <is>
          <t>PS</t>
        </is>
      </c>
      <c r="B19" s="8" t="inlineStr">
        <is>
          <t>M+H</t>
        </is>
      </c>
      <c r="C19" s="8" t="inlineStr">
        <is>
          <t>Positive</t>
        </is>
      </c>
      <c r="D19" s="8" t="n">
        <v>3</v>
      </c>
      <c r="E19" s="8" t="n">
        <v>7.023730239070303</v>
      </c>
      <c r="F19" s="8" t="n">
        <v>0.8465678232378845</v>
      </c>
      <c r="G19" s="8" t="inlineStr">
        <is>
          <t>yes</t>
        </is>
      </c>
      <c r="H19" s="8" t="inlineStr">
        <is>
          <t>calibrated</t>
        </is>
      </c>
      <c r="I19" s="35" t="n">
        <v>0.1423744884786984</v>
      </c>
      <c r="J19" s="8" t="n">
        <v>0.1423744884786984</v>
      </c>
    </row>
    <row r="20">
      <c r="A20" s="8" t="inlineStr">
        <is>
          <t>LPS</t>
        </is>
      </c>
      <c r="B20" s="8" t="inlineStr">
        <is>
          <t>M+H</t>
        </is>
      </c>
      <c r="C20" s="8" t="inlineStr">
        <is>
          <t>Positive</t>
        </is>
      </c>
      <c r="D20" s="8" t="n">
        <v>1</v>
      </c>
      <c r="E20" s="8" t="n">
        <v>12.03963831940839</v>
      </c>
      <c r="F20" s="8" t="n">
        <v>1.080613440555986</v>
      </c>
      <c r="G20" s="8" t="inlineStr">
        <is>
          <t>yes</t>
        </is>
      </c>
      <c r="H20" s="8" t="inlineStr">
        <is>
          <t>calibrated</t>
        </is>
      </c>
      <c r="I20" s="35" t="n">
        <v>0.08305897348992279</v>
      </c>
      <c r="J20" s="8" t="n">
        <v>0.08305897348992279</v>
      </c>
    </row>
    <row r="21">
      <c r="A21" s="8" t="inlineStr">
        <is>
          <t>PE</t>
        </is>
      </c>
      <c r="B21" s="8" t="inlineStr">
        <is>
          <t>M+H</t>
        </is>
      </c>
      <c r="C21" s="8" t="inlineStr">
        <is>
          <t>Positive</t>
        </is>
      </c>
      <c r="D21" s="8" t="n">
        <v>3</v>
      </c>
      <c r="E21" s="8" t="n">
        <v>13.17197973138795</v>
      </c>
      <c r="F21" s="8" t="n">
        <v>1.119651053762225</v>
      </c>
      <c r="G21" s="8" t="inlineStr">
        <is>
          <t>yes</t>
        </is>
      </c>
      <c r="H21" s="8" t="inlineStr">
        <is>
          <t>calibrated</t>
        </is>
      </c>
      <c r="I21" s="35" t="n">
        <v>0.07591873206554263</v>
      </c>
      <c r="J21" s="8" t="n">
        <v>0.07591873206554263</v>
      </c>
    </row>
    <row r="22">
      <c r="A22" s="8" t="inlineStr">
        <is>
          <t>DGTS</t>
        </is>
      </c>
      <c r="B22" s="8" t="inlineStr">
        <is>
          <t>M+H</t>
        </is>
      </c>
      <c r="C22" s="8" t="inlineStr">
        <is>
          <t>Positive</t>
        </is>
      </c>
      <c r="D22" s="8" t="n">
        <v>1</v>
      </c>
      <c r="E22" s="8" t="n">
        <v>22.90749257059057</v>
      </c>
      <c r="F22" s="8" t="n">
        <v>1.359977554385712</v>
      </c>
      <c r="G22" s="8" t="inlineStr">
        <is>
          <t>yes</t>
        </is>
      </c>
      <c r="H22" s="8" t="inlineStr">
        <is>
          <t>calibrated</t>
        </is>
      </c>
      <c r="I22" s="35" t="n">
        <v>0.04365383932433681</v>
      </c>
      <c r="J22" s="8" t="n">
        <v>0.04365383932433681</v>
      </c>
    </row>
    <row r="23">
      <c r="A23" s="8" t="inlineStr">
        <is>
          <t>SM</t>
        </is>
      </c>
      <c r="B23" s="8" t="inlineStr">
        <is>
          <t>M+H</t>
        </is>
      </c>
      <c r="C23" s="8" t="inlineStr">
        <is>
          <t>Positive</t>
        </is>
      </c>
      <c r="D23" s="8" t="n">
        <v>3</v>
      </c>
      <c r="E23" s="8" t="n">
        <v>31.13196197127053</v>
      </c>
      <c r="F23" s="8" t="n">
        <v>1.493206491271869</v>
      </c>
      <c r="G23" s="8" t="inlineStr">
        <is>
          <t>yes</t>
        </is>
      </c>
      <c r="H23" s="8" t="inlineStr">
        <is>
          <t>calibrated</t>
        </is>
      </c>
      <c r="I23" s="35" t="n">
        <v>0.03212132922823267</v>
      </c>
      <c r="J23" s="8" t="n">
        <v>0.03212132922823267</v>
      </c>
    </row>
    <row r="24">
      <c r="A24" s="8" t="inlineStr">
        <is>
          <t>PC</t>
        </is>
      </c>
      <c r="B24" s="8" t="inlineStr">
        <is>
          <t>M+H</t>
        </is>
      </c>
      <c r="C24" s="8" t="inlineStr">
        <is>
          <t>Positive</t>
        </is>
      </c>
      <c r="D24" s="8" t="n">
        <v>3</v>
      </c>
      <c r="E24" s="8" t="n">
        <v>48.29195920732115</v>
      </c>
      <c r="F24" s="8" t="n">
        <v>1.683874825107703</v>
      </c>
      <c r="G24" s="8" t="inlineStr">
        <is>
          <t>yes</t>
        </is>
      </c>
      <c r="H24" s="8" t="inlineStr">
        <is>
          <t>calibrated</t>
        </is>
      </c>
      <c r="I24" s="35" t="n">
        <v>0.0207073810301819</v>
      </c>
      <c r="J24" s="8" t="n">
        <v>0.0207073810301819</v>
      </c>
    </row>
    <row r="25">
      <c r="A25" s="8" t="inlineStr">
        <is>
          <t>LPC</t>
        </is>
      </c>
      <c r="B25" s="8" t="inlineStr">
        <is>
          <t>M+H</t>
        </is>
      </c>
      <c r="C25" s="8" t="inlineStr">
        <is>
          <t>Positive</t>
        </is>
      </c>
      <c r="D25" s="8" t="n">
        <v>3</v>
      </c>
      <c r="E25" s="8" t="n">
        <v>976.4858407505644</v>
      </c>
      <c r="F25" s="8" t="n">
        <v>2.989665950308481</v>
      </c>
      <c r="G25" s="8" t="inlineStr">
        <is>
          <t>no</t>
        </is>
      </c>
      <c r="H25" s="8" t="inlineStr">
        <is>
          <t>uncalibrated</t>
        </is>
      </c>
      <c r="I25" s="35" t="n">
        <v>1</v>
      </c>
      <c r="J25" s="8" t="n">
        <v>0.001024080389359626</v>
      </c>
    </row>
    <row r="26">
      <c r="A26" s="8" t="inlineStr">
        <is>
          <t>MG</t>
        </is>
      </c>
      <c r="B26" s="8" t="inlineStr">
        <is>
          <t>M+NH4</t>
        </is>
      </c>
      <c r="C26" s="8" t="inlineStr">
        <is>
          <t>Positive</t>
        </is>
      </c>
      <c r="D26" s="8" t="n">
        <v>1</v>
      </c>
      <c r="E26" s="8" t="n">
        <v>0.0031630935087593</v>
      </c>
      <c r="F26" s="8" t="n">
        <v>-2.499887969090317</v>
      </c>
      <c r="G26" s="8" t="inlineStr">
        <is>
          <t>no</t>
        </is>
      </c>
      <c r="H26" s="8" t="inlineStr">
        <is>
          <t>uncalibrated</t>
        </is>
      </c>
      <c r="I26" s="35" t="n">
        <v>1</v>
      </c>
      <c r="J26" s="8" t="n">
        <v>316.1462022007192</v>
      </c>
    </row>
    <row r="27">
      <c r="A27" s="8" t="inlineStr">
        <is>
          <t>CER</t>
        </is>
      </c>
      <c r="B27" s="8" t="inlineStr">
        <is>
          <t>M+NH4</t>
        </is>
      </c>
      <c r="C27" s="8" t="inlineStr">
        <is>
          <t>Positive</t>
        </is>
      </c>
      <c r="D27" s="8" t="n">
        <v>1</v>
      </c>
      <c r="E27" s="8" t="n">
        <v>0.0089697882915508</v>
      </c>
      <c r="F27" s="8" t="n">
        <v>-2.047217807223054</v>
      </c>
      <c r="G27" s="8" t="inlineStr">
        <is>
          <t>no</t>
        </is>
      </c>
      <c r="H27" s="8" t="inlineStr">
        <is>
          <t>uncalibrated</t>
        </is>
      </c>
      <c r="I27" s="35" t="n">
        <v>1</v>
      </c>
      <c r="J27" s="8" t="n">
        <v>111.4853514371083</v>
      </c>
    </row>
    <row r="28">
      <c r="A28" s="8" t="inlineStr">
        <is>
          <t>SQDG</t>
        </is>
      </c>
      <c r="B28" s="8" t="inlineStr">
        <is>
          <t>M+NH4</t>
        </is>
      </c>
      <c r="C28" s="8" t="inlineStr">
        <is>
          <t>Positive</t>
        </is>
      </c>
      <c r="D28" s="8" t="n">
        <v>1</v>
      </c>
      <c r="E28" s="8" t="n">
        <v>0.0168683287743549</v>
      </c>
      <c r="F28" s="8" t="n">
        <v>-1.772927942901623</v>
      </c>
      <c r="G28" s="8" t="inlineStr">
        <is>
          <t>no</t>
        </is>
      </c>
      <c r="H28" s="8" t="inlineStr">
        <is>
          <t>uncalibrated</t>
        </is>
      </c>
      <c r="I28" s="35" t="n">
        <v>1</v>
      </c>
      <c r="J28" s="8" t="n">
        <v>59.28269559935958</v>
      </c>
    </row>
    <row r="29">
      <c r="A29" s="8" t="inlineStr">
        <is>
          <t>DGTS</t>
        </is>
      </c>
      <c r="B29" s="8" t="inlineStr">
        <is>
          <t>M+NH4</t>
        </is>
      </c>
      <c r="C29" s="8" t="inlineStr">
        <is>
          <t>Positive</t>
        </is>
      </c>
      <c r="D29" s="8" t="n">
        <v>1</v>
      </c>
      <c r="E29" s="8" t="n">
        <v>0.0255380786153421</v>
      </c>
      <c r="F29" s="8" t="n">
        <v>-1.59281178045334</v>
      </c>
      <c r="G29" s="8" t="inlineStr">
        <is>
          <t>no</t>
        </is>
      </c>
      <c r="H29" s="8" t="inlineStr">
        <is>
          <t>uncalibrated</t>
        </is>
      </c>
      <c r="I29" s="35" t="n">
        <v>1</v>
      </c>
      <c r="J29" s="8" t="n">
        <v>39.15721362840688</v>
      </c>
    </row>
    <row r="30">
      <c r="A30" s="8" t="inlineStr">
        <is>
          <t>DGDG</t>
        </is>
      </c>
      <c r="B30" s="8" t="inlineStr">
        <is>
          <t>M+NH4</t>
        </is>
      </c>
      <c r="C30" s="8" t="inlineStr">
        <is>
          <t>Positive</t>
        </is>
      </c>
      <c r="D30" s="8" t="n">
        <v>1</v>
      </c>
      <c r="E30" s="8" t="n">
        <v>0.1249790925364936</v>
      </c>
      <c r="F30" s="8" t="n">
        <v>-0.9031626330357424</v>
      </c>
      <c r="G30" s="8" t="inlineStr">
        <is>
          <t>no</t>
        </is>
      </c>
      <c r="H30" s="8" t="inlineStr">
        <is>
          <t>uncalibrated</t>
        </is>
      </c>
      <c r="I30" s="35" t="n">
        <v>1</v>
      </c>
      <c r="J30" s="8" t="n">
        <v>8.00133830150833</v>
      </c>
    </row>
    <row r="31">
      <c r="A31" s="8" t="inlineStr">
        <is>
          <t>PS</t>
        </is>
      </c>
      <c r="B31" s="8" t="inlineStr">
        <is>
          <t>M+NH4</t>
        </is>
      </c>
      <c r="C31" s="8" t="inlineStr">
        <is>
          <t>Positive</t>
        </is>
      </c>
      <c r="D31" s="8" t="n">
        <v>1</v>
      </c>
      <c r="E31" s="8" t="n">
        <v>1</v>
      </c>
      <c r="F31" s="8" t="n">
        <v>0</v>
      </c>
      <c r="G31" s="8" t="inlineStr">
        <is>
          <t>yes</t>
        </is>
      </c>
      <c r="H31" s="8" t="inlineStr">
        <is>
          <t>calibrated</t>
        </is>
      </c>
      <c r="I31" s="35" t="n">
        <v>1</v>
      </c>
      <c r="J31" s="8" t="n">
        <v>1</v>
      </c>
    </row>
    <row r="32">
      <c r="A32" s="8" t="inlineStr">
        <is>
          <t>MGDG</t>
        </is>
      </c>
      <c r="B32" s="8" t="inlineStr">
        <is>
          <t>M+NH4</t>
        </is>
      </c>
      <c r="C32" s="8" t="inlineStr">
        <is>
          <t>Positive</t>
        </is>
      </c>
      <c r="D32" s="8" t="n">
        <v>1</v>
      </c>
      <c r="E32" s="8" t="n">
        <v>3.615811760252428</v>
      </c>
      <c r="F32" s="8" t="n">
        <v>0.5582058129505585</v>
      </c>
      <c r="G32" s="8" t="inlineStr">
        <is>
          <t>yes</t>
        </is>
      </c>
      <c r="H32" s="8" t="inlineStr">
        <is>
          <t>calibrated</t>
        </is>
      </c>
      <c r="I32" s="35" t="n">
        <v>0.2765630697351866</v>
      </c>
      <c r="J32" s="8" t="n">
        <v>0.2765630697351866</v>
      </c>
    </row>
    <row r="33">
      <c r="A33" s="8" t="inlineStr">
        <is>
          <t>DG</t>
        </is>
      </c>
      <c r="B33" s="8" t="inlineStr">
        <is>
          <t>M+NH4</t>
        </is>
      </c>
      <c r="C33" s="8" t="inlineStr">
        <is>
          <t>Positive</t>
        </is>
      </c>
      <c r="D33" s="8" t="n">
        <v>3</v>
      </c>
      <c r="E33" s="8" t="n">
        <v>4.087772292838461</v>
      </c>
      <c r="F33" s="8" t="n">
        <v>0.6114866956594213</v>
      </c>
      <c r="G33" s="8" t="inlineStr">
        <is>
          <t>yes</t>
        </is>
      </c>
      <c r="H33" s="8" t="inlineStr">
        <is>
          <t>calibrated</t>
        </is>
      </c>
      <c r="I33" s="35" t="n">
        <v>0.2446320216397429</v>
      </c>
      <c r="J33" s="8" t="n">
        <v>0.2446320216397429</v>
      </c>
    </row>
    <row r="34">
      <c r="A34" s="8" t="inlineStr">
        <is>
          <t>PI</t>
        </is>
      </c>
      <c r="B34" s="8" t="inlineStr">
        <is>
          <t>M+NH4</t>
        </is>
      </c>
      <c r="C34" s="8" t="inlineStr">
        <is>
          <t>Positive</t>
        </is>
      </c>
      <c r="D34" s="8" t="n">
        <v>3</v>
      </c>
      <c r="E34" s="8" t="n">
        <v>11.16879170887919</v>
      </c>
      <c r="F34" s="8" t="n">
        <v>1.048006191687638</v>
      </c>
      <c r="G34" s="8" t="inlineStr">
        <is>
          <t>yes</t>
        </is>
      </c>
      <c r="H34" s="8" t="inlineStr">
        <is>
          <t>calibrated</t>
        </is>
      </c>
      <c r="I34" s="35" t="n">
        <v>0.08953520005257148</v>
      </c>
      <c r="J34" s="8" t="n">
        <v>0.08953520005257148</v>
      </c>
    </row>
    <row r="35">
      <c r="A35" s="8" t="inlineStr">
        <is>
          <t>TG</t>
        </is>
      </c>
      <c r="B35" s="8" t="inlineStr">
        <is>
          <t>M+NH4</t>
        </is>
      </c>
      <c r="C35" s="8" t="inlineStr">
        <is>
          <t>Positive</t>
        </is>
      </c>
      <c r="D35" s="8" t="n">
        <v>2</v>
      </c>
      <c r="E35" s="8" t="n">
        <v>13.37648520526356</v>
      </c>
      <c r="F35" s="8" t="n">
        <v>1.126342013544908</v>
      </c>
      <c r="G35" s="8" t="inlineStr">
        <is>
          <t>yes</t>
        </is>
      </c>
      <c r="H35" s="8" t="inlineStr">
        <is>
          <t>calibrated</t>
        </is>
      </c>
      <c r="I35" s="35" t="n">
        <v>0.07475805375290263</v>
      </c>
      <c r="J35" s="8" t="n">
        <v>0.07475805375290263</v>
      </c>
    </row>
    <row r="36">
      <c r="A36" s="8" t="inlineStr">
        <is>
          <t>PG</t>
        </is>
      </c>
      <c r="B36" s="8" t="inlineStr">
        <is>
          <t>M+NH4</t>
        </is>
      </c>
      <c r="C36" s="8" t="inlineStr">
        <is>
          <t>Positive</t>
        </is>
      </c>
      <c r="D36" s="8" t="n">
        <v>3</v>
      </c>
      <c r="E36" s="8" t="n">
        <v>17.9455721385319</v>
      </c>
      <c r="F36" s="8" t="n">
        <v>1.253957309013438</v>
      </c>
      <c r="G36" s="8" t="inlineStr">
        <is>
          <t>yes</t>
        </is>
      </c>
      <c r="H36" s="8" t="inlineStr">
        <is>
          <t>calibrated</t>
        </is>
      </c>
      <c r="I36" s="35" t="n">
        <v>0.05572405227765607</v>
      </c>
      <c r="J36" s="8" t="n">
        <v>0.05572405227765607</v>
      </c>
    </row>
    <row r="37">
      <c r="A37" s="8" t="inlineStr">
        <is>
          <t>PA</t>
        </is>
      </c>
      <c r="B37" s="8" t="inlineStr">
        <is>
          <t>M+NH4</t>
        </is>
      </c>
      <c r="C37" s="8" t="inlineStr">
        <is>
          <t>Positive</t>
        </is>
      </c>
      <c r="D37" s="8" t="n">
        <v>1</v>
      </c>
      <c r="E37" s="8" t="n">
        <v>47.31548158024683</v>
      </c>
      <c r="F37" s="8" t="n">
        <v>1.67500326472894</v>
      </c>
      <c r="G37" s="8" t="inlineStr">
        <is>
          <t>yes</t>
        </is>
      </c>
      <c r="H37" s="8" t="inlineStr">
        <is>
          <t>calibrated</t>
        </is>
      </c>
      <c r="I37" s="35" t="n">
        <v>0.02113473152130988</v>
      </c>
      <c r="J37" s="8" t="n">
        <v>0.02113473152130988</v>
      </c>
    </row>
    <row r="38">
      <c r="A38" s="8" t="inlineStr">
        <is>
          <t>SQDG</t>
        </is>
      </c>
      <c r="B38" s="8" t="inlineStr">
        <is>
          <t>M-H</t>
        </is>
      </c>
      <c r="C38" s="8" t="inlineStr">
        <is>
          <t>Negative</t>
        </is>
      </c>
      <c r="D38" s="8" t="n">
        <v>1</v>
      </c>
      <c r="E38" s="8" t="n">
        <v>0.0909581540851173</v>
      </c>
      <c r="F38" s="8" t="n">
        <v>-1.041158361851348</v>
      </c>
      <c r="G38" s="8" t="inlineStr">
        <is>
          <t>no</t>
        </is>
      </c>
      <c r="H38" s="8" t="inlineStr">
        <is>
          <t>uncalibrated</t>
        </is>
      </c>
      <c r="I38" s="35" t="n">
        <v>1</v>
      </c>
      <c r="J38" s="8" t="n">
        <v>10.99406655794944</v>
      </c>
    </row>
    <row r="39">
      <c r="A39" s="8" t="inlineStr">
        <is>
          <t>HEXCER</t>
        </is>
      </c>
      <c r="B39" s="8" t="inlineStr">
        <is>
          <t>M-H</t>
        </is>
      </c>
      <c r="C39" s="8" t="inlineStr">
        <is>
          <t>Negative</t>
        </is>
      </c>
      <c r="D39" s="8" t="n">
        <v>1</v>
      </c>
      <c r="E39" s="8" t="n">
        <v>0.2656469405468208</v>
      </c>
      <c r="F39" s="8" t="n">
        <v>-0.5756951814906817</v>
      </c>
      <c r="G39" s="8" t="inlineStr">
        <is>
          <t>yes</t>
        </is>
      </c>
      <c r="H39" s="8" t="inlineStr">
        <is>
          <t>calibrated</t>
        </is>
      </c>
      <c r="I39" s="35" t="n">
        <v>3.764394944438473</v>
      </c>
      <c r="J39" s="8" t="n">
        <v>3.764394944438473</v>
      </c>
    </row>
    <row r="40">
      <c r="A40" s="8" t="inlineStr">
        <is>
          <t>CER</t>
        </is>
      </c>
      <c r="B40" s="8" t="inlineStr">
        <is>
          <t>M-H</t>
        </is>
      </c>
      <c r="C40" s="8" t="inlineStr">
        <is>
          <t>Negative</t>
        </is>
      </c>
      <c r="D40" s="8" t="n">
        <v>3</v>
      </c>
      <c r="E40" s="8" t="n">
        <v>0.2764214809671328</v>
      </c>
      <c r="F40" s="8" t="n">
        <v>-0.5584282105634064</v>
      </c>
      <c r="G40" s="8" t="inlineStr">
        <is>
          <t>yes</t>
        </is>
      </c>
      <c r="H40" s="8" t="inlineStr">
        <is>
          <t>calibrated</t>
        </is>
      </c>
      <c r="I40" s="35" t="n">
        <v>3.617663853406901</v>
      </c>
      <c r="J40" s="8" t="n">
        <v>3.617663853406901</v>
      </c>
    </row>
    <row r="41">
      <c r="A41" s="8" t="inlineStr">
        <is>
          <t>CERP</t>
        </is>
      </c>
      <c r="B41" s="8" t="inlineStr">
        <is>
          <t>M-H</t>
        </is>
      </c>
      <c r="C41" s="8" t="inlineStr">
        <is>
          <t>Negative</t>
        </is>
      </c>
      <c r="D41" s="8" t="n">
        <v>1</v>
      </c>
      <c r="E41" s="8" t="n">
        <v>0.5975020375231369</v>
      </c>
      <c r="F41" s="8" t="n">
        <v>-0.2236606094031781</v>
      </c>
      <c r="G41" s="8" t="inlineStr">
        <is>
          <t>yes</t>
        </is>
      </c>
      <c r="H41" s="8" t="inlineStr">
        <is>
          <t>calibrated</t>
        </is>
      </c>
      <c r="I41" s="35" t="n">
        <v>1.673634460135673</v>
      </c>
      <c r="J41" s="8" t="n">
        <v>1.673634460135673</v>
      </c>
    </row>
    <row r="42">
      <c r="A42" s="8" t="inlineStr">
        <is>
          <t>LPE</t>
        </is>
      </c>
      <c r="B42" s="8" t="inlineStr">
        <is>
          <t>M-H</t>
        </is>
      </c>
      <c r="C42" s="8" t="inlineStr">
        <is>
          <t>Negative</t>
        </is>
      </c>
      <c r="D42" s="8" t="n">
        <v>4</v>
      </c>
      <c r="E42" s="8" t="n">
        <v>5.525613492292932</v>
      </c>
      <c r="F42" s="8" t="n">
        <v>0.7423805034478542</v>
      </c>
      <c r="G42" s="8" t="inlineStr">
        <is>
          <t>yes</t>
        </is>
      </c>
      <c r="H42" s="8" t="inlineStr">
        <is>
          <t>calibrated</t>
        </is>
      </c>
      <c r="I42" s="35" t="n">
        <v>0.1809753797283848</v>
      </c>
      <c r="J42" s="8" t="n">
        <v>0.1809753797283848</v>
      </c>
    </row>
    <row r="43">
      <c r="A43" s="8" t="inlineStr">
        <is>
          <t>LPA</t>
        </is>
      </c>
      <c r="B43" s="8" t="inlineStr">
        <is>
          <t>M-H</t>
        </is>
      </c>
      <c r="C43" s="8" t="inlineStr">
        <is>
          <t>Negative</t>
        </is>
      </c>
      <c r="D43" s="8" t="n">
        <v>1</v>
      </c>
      <c r="E43" s="8" t="n">
        <v>5.685009193752677</v>
      </c>
      <c r="F43" s="8" t="n">
        <v>0.7547311713619818</v>
      </c>
      <c r="G43" s="8" t="inlineStr">
        <is>
          <t>yes</t>
        </is>
      </c>
      <c r="H43" s="8" t="inlineStr">
        <is>
          <t>calibrated</t>
        </is>
      </c>
      <c r="I43" s="35" t="n">
        <v>0.1759012106961782</v>
      </c>
      <c r="J43" s="8" t="n">
        <v>0.1759012106961782</v>
      </c>
    </row>
    <row r="44">
      <c r="A44" s="8" t="inlineStr">
        <is>
          <t>PG</t>
        </is>
      </c>
      <c r="B44" s="8" t="inlineStr">
        <is>
          <t>M-H</t>
        </is>
      </c>
      <c r="C44" s="8" t="inlineStr">
        <is>
          <t>Negative</t>
        </is>
      </c>
      <c r="D44" s="8" t="n">
        <v>4</v>
      </c>
      <c r="E44" s="8" t="n">
        <v>5.937793325137748</v>
      </c>
      <c r="F44" s="8" t="n">
        <v>0.773625077174763</v>
      </c>
      <c r="G44" s="8" t="inlineStr">
        <is>
          <t>yes</t>
        </is>
      </c>
      <c r="H44" s="8" t="inlineStr">
        <is>
          <t>calibrated</t>
        </is>
      </c>
      <c r="I44" s="35" t="n">
        <v>0.1684127326841241</v>
      </c>
      <c r="J44" s="8" t="n">
        <v>0.1684127326841241</v>
      </c>
    </row>
    <row r="45">
      <c r="A45" s="8" t="inlineStr">
        <is>
          <t>PI</t>
        </is>
      </c>
      <c r="B45" s="8" t="inlineStr">
        <is>
          <t>M-H</t>
        </is>
      </c>
      <c r="C45" s="8" t="inlineStr">
        <is>
          <t>Negative</t>
        </is>
      </c>
      <c r="D45" s="8" t="n">
        <v>4</v>
      </c>
      <c r="E45" s="8" t="n">
        <v>6.096574565702976</v>
      </c>
      <c r="F45" s="8" t="n">
        <v>0.7850858899187382</v>
      </c>
      <c r="G45" s="8" t="inlineStr">
        <is>
          <t>yes</t>
        </is>
      </c>
      <c r="H45" s="8" t="inlineStr">
        <is>
          <t>calibrated</t>
        </is>
      </c>
      <c r="I45" s="35" t="n">
        <v>0.1640265347734155</v>
      </c>
      <c r="J45" s="8" t="n">
        <v>0.1640265347734155</v>
      </c>
    </row>
    <row r="46">
      <c r="A46" s="8" t="inlineStr">
        <is>
          <t>PE</t>
        </is>
      </c>
      <c r="B46" s="8" t="inlineStr">
        <is>
          <t>M-H</t>
        </is>
      </c>
      <c r="C46" s="8" t="inlineStr">
        <is>
          <t>Negative</t>
        </is>
      </c>
      <c r="D46" s="8" t="n">
        <v>4</v>
      </c>
      <c r="E46" s="8" t="n">
        <v>6.346965845426597</v>
      </c>
      <c r="F46" s="8" t="n">
        <v>0.802566161275565</v>
      </c>
      <c r="G46" s="8" t="inlineStr">
        <is>
          <t>yes</t>
        </is>
      </c>
      <c r="H46" s="8" t="inlineStr">
        <is>
          <t>calibrated</t>
        </is>
      </c>
      <c r="I46" s="35" t="n">
        <v>0.1575555981163134</v>
      </c>
      <c r="J46" s="8" t="n">
        <v>0.1575555981163134</v>
      </c>
    </row>
    <row r="47">
      <c r="A47" s="8" t="inlineStr">
        <is>
          <t>LPS</t>
        </is>
      </c>
      <c r="B47" s="8" t="inlineStr">
        <is>
          <t>M-H</t>
        </is>
      </c>
      <c r="C47" s="8" t="inlineStr">
        <is>
          <t>Negative</t>
        </is>
      </c>
      <c r="D47" s="8" t="n">
        <v>1</v>
      </c>
      <c r="E47" s="8" t="n">
        <v>13.53375705020071</v>
      </c>
      <c r="F47" s="8" t="n">
        <v>1.131418376026256</v>
      </c>
      <c r="G47" s="8" t="inlineStr">
        <is>
          <t>yes</t>
        </is>
      </c>
      <c r="H47" s="8" t="inlineStr">
        <is>
          <t>calibrated</t>
        </is>
      </c>
      <c r="I47" s="35" t="n">
        <v>0.07388931220582017</v>
      </c>
      <c r="J47" s="8" t="n">
        <v>0.07388931220582017</v>
      </c>
    </row>
    <row r="48">
      <c r="A48" s="8" t="inlineStr">
        <is>
          <t>LPI</t>
        </is>
      </c>
      <c r="B48" s="8" t="inlineStr">
        <is>
          <t>M-H</t>
        </is>
      </c>
      <c r="C48" s="8" t="inlineStr">
        <is>
          <t>Negative</t>
        </is>
      </c>
      <c r="D48" s="8" t="n">
        <v>1</v>
      </c>
      <c r="E48" s="8" t="n">
        <v>16.40340883797568</v>
      </c>
      <c r="F48" s="8" t="n">
        <v>1.214934109369939</v>
      </c>
      <c r="G48" s="8" t="inlineStr">
        <is>
          <t>yes</t>
        </is>
      </c>
      <c r="H48" s="8" t="inlineStr">
        <is>
          <t>calibrated</t>
        </is>
      </c>
      <c r="I48" s="35" t="n">
        <v>0.06096293824518298</v>
      </c>
      <c r="J48" s="8" t="n">
        <v>0.06096293824518298</v>
      </c>
    </row>
    <row r="49">
      <c r="A49" s="8" t="inlineStr">
        <is>
          <t>PA</t>
        </is>
      </c>
      <c r="B49" s="8" t="inlineStr">
        <is>
          <t>M-H</t>
        </is>
      </c>
      <c r="C49" s="8" t="inlineStr">
        <is>
          <t>Negative</t>
        </is>
      </c>
      <c r="D49" s="8" t="n">
        <v>1</v>
      </c>
      <c r="E49" s="8" t="n">
        <v>17.2935909715571</v>
      </c>
      <c r="F49" s="8" t="n">
        <v>1.237885182817213</v>
      </c>
      <c r="G49" s="8" t="inlineStr">
        <is>
          <t>yes</t>
        </is>
      </c>
      <c r="H49" s="8" t="inlineStr">
        <is>
          <t>calibrated</t>
        </is>
      </c>
      <c r="I49" s="35" t="n">
        <v>0.05782489025238931</v>
      </c>
      <c r="J49" s="8" t="n">
        <v>0.05782489025238931</v>
      </c>
    </row>
    <row r="50">
      <c r="A50" s="8" t="inlineStr">
        <is>
          <t>LPG</t>
        </is>
      </c>
      <c r="B50" s="8" t="inlineStr">
        <is>
          <t>M-H</t>
        </is>
      </c>
      <c r="C50" s="8" t="inlineStr">
        <is>
          <t>Negative</t>
        </is>
      </c>
      <c r="D50" s="8" t="n">
        <v>1</v>
      </c>
      <c r="E50" s="8" t="n">
        <v>20.85780777351135</v>
      </c>
      <c r="F50" s="8" t="n">
        <v>1.319268660662979</v>
      </c>
      <c r="G50" s="8" t="inlineStr">
        <is>
          <t>yes</t>
        </is>
      </c>
      <c r="H50" s="8" t="inlineStr">
        <is>
          <t>calibrated</t>
        </is>
      </c>
      <c r="I50" s="35" t="n">
        <v>0.04794367705651038</v>
      </c>
      <c r="J50" s="8" t="n">
        <v>0.04794367705651038</v>
      </c>
    </row>
    <row r="51">
      <c r="A51" s="8" t="inlineStr">
        <is>
          <t>PS</t>
        </is>
      </c>
      <c r="B51" s="8" t="inlineStr">
        <is>
          <t>M-H</t>
        </is>
      </c>
      <c r="C51" s="8" t="inlineStr">
        <is>
          <t>Negative</t>
        </is>
      </c>
      <c r="D51" s="8" t="n">
        <v>4</v>
      </c>
      <c r="E51" s="8" t="n">
        <v>60.43083554794574</v>
      </c>
      <c r="F51" s="8" t="n">
        <v>1.781258599069796</v>
      </c>
      <c r="G51" s="8" t="inlineStr">
        <is>
          <t>yes</t>
        </is>
      </c>
      <c r="H51" s="8" t="inlineStr">
        <is>
          <t>calibrated</t>
        </is>
      </c>
      <c r="I51" s="35" t="n">
        <v>0.0165478433474017</v>
      </c>
      <c r="J51" s="8" t="n">
        <v>0.0165478433474017</v>
      </c>
    </row>
    <row r="52">
      <c r="A52" s="8" t="inlineStr">
        <is>
          <t>DGDG</t>
        </is>
      </c>
      <c r="B52" s="8" t="inlineStr">
        <is>
          <t>M+HCOO</t>
        </is>
      </c>
      <c r="C52" s="8" t="inlineStr">
        <is>
          <t>Negative</t>
        </is>
      </c>
      <c r="D52" s="8" t="n">
        <v>1</v>
      </c>
      <c r="E52" s="8" t="n">
        <v>0.0102712858226438</v>
      </c>
      <c r="F52" s="8" t="n">
        <v>-1.988375185348791</v>
      </c>
      <c r="G52" s="8" t="inlineStr">
        <is>
          <t>no</t>
        </is>
      </c>
      <c r="H52" s="8" t="inlineStr">
        <is>
          <t>uncalibrated</t>
        </is>
      </c>
      <c r="I52" s="35" t="n">
        <v>1</v>
      </c>
      <c r="J52" s="8" t="n">
        <v>97.35879394918861</v>
      </c>
    </row>
    <row r="53">
      <c r="A53" s="8" t="inlineStr">
        <is>
          <t>SQDG</t>
        </is>
      </c>
      <c r="B53" s="8" t="inlineStr">
        <is>
          <t>M+HCOO</t>
        </is>
      </c>
      <c r="C53" s="8" t="inlineStr">
        <is>
          <t>Negative</t>
        </is>
      </c>
      <c r="D53" s="8" t="n">
        <v>1</v>
      </c>
      <c r="E53" s="8" t="n">
        <v>0.0154185242238219</v>
      </c>
      <c r="F53" s="8" t="n">
        <v>-1.811957192570563</v>
      </c>
      <c r="G53" s="8" t="inlineStr">
        <is>
          <t>no</t>
        </is>
      </c>
      <c r="H53" s="8" t="inlineStr">
        <is>
          <t>uncalibrated</t>
        </is>
      </c>
      <c r="I53" s="35" t="n">
        <v>1</v>
      </c>
      <c r="J53" s="8" t="n">
        <v>64.85705022631036</v>
      </c>
    </row>
    <row r="54">
      <c r="A54" s="8" t="inlineStr">
        <is>
          <t>MGDG</t>
        </is>
      </c>
      <c r="B54" s="8" t="inlineStr">
        <is>
          <t>M+HCOO</t>
        </is>
      </c>
      <c r="C54" s="8" t="inlineStr">
        <is>
          <t>Negative</t>
        </is>
      </c>
      <c r="D54" s="8" t="n">
        <v>1</v>
      </c>
      <c r="E54" s="8" t="n">
        <v>0.3848829364303784</v>
      </c>
      <c r="F54" s="8" t="n">
        <v>-0.4146713426814509</v>
      </c>
      <c r="G54" s="8" t="inlineStr">
        <is>
          <t>yes</t>
        </is>
      </c>
      <c r="H54" s="8" t="inlineStr">
        <is>
          <t>calibrated</t>
        </is>
      </c>
      <c r="I54" s="35" t="n">
        <v>2.598192607015953</v>
      </c>
      <c r="J54" s="8" t="n">
        <v>2.598192607015953</v>
      </c>
    </row>
    <row r="55">
      <c r="A55" s="8" t="inlineStr">
        <is>
          <t>DGTS</t>
        </is>
      </c>
      <c r="B55" s="8" t="inlineStr">
        <is>
          <t>M+HCOO</t>
        </is>
      </c>
      <c r="C55" s="8" t="inlineStr">
        <is>
          <t>Negative</t>
        </is>
      </c>
      <c r="D55" s="8" t="n">
        <v>1</v>
      </c>
      <c r="E55" s="8" t="n">
        <v>0.5188485948613926</v>
      </c>
      <c r="F55" s="8" t="n">
        <v>-0.2849593550786897</v>
      </c>
      <c r="G55" s="8" t="inlineStr">
        <is>
          <t>yes</t>
        </is>
      </c>
      <c r="H55" s="8" t="inlineStr">
        <is>
          <t>calibrated</t>
        </is>
      </c>
      <c r="I55" s="35" t="n">
        <v>1.927344527678916</v>
      </c>
      <c r="J55" s="8" t="n">
        <v>1.927344527678916</v>
      </c>
    </row>
    <row r="56">
      <c r="A56" s="8" t="inlineStr">
        <is>
          <t>HEXCER</t>
        </is>
      </c>
      <c r="B56" s="8" t="inlineStr">
        <is>
          <t>M+HCOO</t>
        </is>
      </c>
      <c r="C56" s="8" t="inlineStr">
        <is>
          <t>Negative</t>
        </is>
      </c>
      <c r="D56" s="8" t="n">
        <v>1</v>
      </c>
      <c r="E56" s="8" t="n">
        <v>1</v>
      </c>
      <c r="F56" s="8" t="n">
        <v>0</v>
      </c>
      <c r="G56" s="8" t="inlineStr">
        <is>
          <t>yes</t>
        </is>
      </c>
      <c r="H56" s="8" t="inlineStr">
        <is>
          <t>calibrated</t>
        </is>
      </c>
      <c r="I56" s="35" t="n">
        <v>1</v>
      </c>
      <c r="J56" s="8" t="n">
        <v>1</v>
      </c>
    </row>
    <row r="57">
      <c r="A57" s="8" t="inlineStr">
        <is>
          <t>PC</t>
        </is>
      </c>
      <c r="B57" s="8" t="inlineStr">
        <is>
          <t>M+HCOO</t>
        </is>
      </c>
      <c r="C57" s="8" t="inlineStr">
        <is>
          <t>Negative</t>
        </is>
      </c>
      <c r="D57" s="8" t="n">
        <v>4</v>
      </c>
      <c r="E57" s="8" t="n">
        <v>1.069309620161418</v>
      </c>
      <c r="F57" s="8" t="n">
        <v>0.0291034740191148</v>
      </c>
      <c r="G57" s="8" t="inlineStr">
        <is>
          <t>yes</t>
        </is>
      </c>
      <c r="H57" s="8" t="inlineStr">
        <is>
          <t>calibrated</t>
        </is>
      </c>
      <c r="I57" s="35" t="n">
        <v>0.9351828330591888</v>
      </c>
      <c r="J57" s="8" t="n">
        <v>0.9351828330591888</v>
      </c>
    </row>
    <row r="58">
      <c r="A58" s="8" t="inlineStr">
        <is>
          <t>SM</t>
        </is>
      </c>
      <c r="B58" s="8" t="inlineStr">
        <is>
          <t>M+HCOO</t>
        </is>
      </c>
      <c r="C58" s="8" t="inlineStr">
        <is>
          <t>Negative</t>
        </is>
      </c>
      <c r="D58" s="8" t="n">
        <v>4</v>
      </c>
      <c r="E58" s="8" t="n">
        <v>1.982442915245817</v>
      </c>
      <c r="F58" s="8" t="n">
        <v>0.2972006905920737</v>
      </c>
      <c r="G58" s="8" t="inlineStr">
        <is>
          <t>yes</t>
        </is>
      </c>
      <c r="H58" s="8" t="inlineStr">
        <is>
          <t>calibrated</t>
        </is>
      </c>
      <c r="I58" s="35" t="n">
        <v>0.5044281438368696</v>
      </c>
      <c r="J58" s="8" t="n">
        <v>0.5044281438368696</v>
      </c>
    </row>
    <row r="59">
      <c r="A59" s="8" t="inlineStr">
        <is>
          <t>CER</t>
        </is>
      </c>
      <c r="B59" s="8" t="inlineStr">
        <is>
          <t>M+HCOO</t>
        </is>
      </c>
      <c r="C59" s="8" t="inlineStr">
        <is>
          <t>Negative</t>
        </is>
      </c>
      <c r="D59" s="8" t="n">
        <v>4</v>
      </c>
      <c r="E59" s="8" t="n">
        <v>2.063907393090143</v>
      </c>
      <c r="F59" s="8" t="n">
        <v>0.3146902067283213</v>
      </c>
      <c r="G59" s="8" t="inlineStr">
        <is>
          <t>yes</t>
        </is>
      </c>
      <c r="H59" s="8" t="inlineStr">
        <is>
          <t>calibrated</t>
        </is>
      </c>
      <c r="I59" s="35" t="n">
        <v>0.4845178632277539</v>
      </c>
      <c r="J59" s="8" t="n">
        <v>0.4845178632277539</v>
      </c>
    </row>
    <row r="60">
      <c r="A60" s="8" t="inlineStr">
        <is>
          <t>LPC</t>
        </is>
      </c>
      <c r="B60" s="8" t="inlineStr">
        <is>
          <t>M+HCOO</t>
        </is>
      </c>
      <c r="C60" s="8" t="inlineStr">
        <is>
          <t>Negative</t>
        </is>
      </c>
      <c r="D60" s="8" t="n">
        <v>4</v>
      </c>
      <c r="E60" s="8" t="n">
        <v>51.35104961591358</v>
      </c>
      <c r="F60" s="8" t="n">
        <v>1.710549325007117</v>
      </c>
      <c r="G60" s="8" t="inlineStr">
        <is>
          <t>yes</t>
        </is>
      </c>
      <c r="H60" s="8" t="inlineStr">
        <is>
          <t>calibrated</t>
        </is>
      </c>
      <c r="I60" s="35" t="n">
        <v>0.019473798636632</v>
      </c>
      <c r="J60" s="8" t="n">
        <v>0.019473798636632</v>
      </c>
    </row>
    <row r="61"/>
    <row r="62">
      <c r="A62" s="33" t="inlineStr">
        <is>
          <t>Uncalibrated = mean RIE outside the trusted window [0.20, 100]; Rule A leaves these classes uncorrected (factor 1.0) rather than extrapolating. Uncapped factor = naive 1 / RIE, shown for reference.</t>
        </is>
      </c>
    </row>
  </sheetData>
  <mergeCells count="3">
    <mergeCell ref="A1:J1"/>
    <mergeCell ref="A62:J62"/>
    <mergeCell ref="A2:J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outlineLevelCol="0"/>
  <cols>
    <col width="13" customWidth="1" min="1" max="1"/>
    <col width="9" customWidth="1" min="2" max="2"/>
    <col width="15" customWidth="1" min="3" max="3"/>
    <col width="12" customWidth="1" min="4" max="4"/>
    <col width="18" customWidth="1" min="5" max="5"/>
    <col width="12" customWidth="1" min="6" max="6"/>
    <col width="20" customWidth="1" min="7" max="7"/>
    <col width="20" customWidth="1" min="8" max="8"/>
    <col width="18" customWidth="1" min="9" max="9"/>
    <col width="18" customWidth="1" min="10" max="10"/>
  </cols>
  <sheetData>
    <row r="1">
      <c r="A1" s="34" t="inlineStr">
        <is>
          <t>Supplementary Table S7. Empirical response (RIE) factors - RIE positive mode</t>
        </is>
      </c>
    </row>
    <row r="2">
      <c r="A2" s="11" t="inlineStr">
        <is>
          <t>RIE relative to LPE. Rule A calibration gate (Figure 5 v2): classes with RIE inside the trusted window [0.20, 100] are corrected by 1 / RIE; classes outside the window are treated as uncalibrated and left uncorrected (factor 1.0).</t>
        </is>
      </c>
    </row>
    <row r="3">
      <c r="A3" s="12" t="inlineStr">
        <is>
          <t>Lipid class</t>
        </is>
      </c>
      <c r="B3" s="12" t="inlineStr">
        <is>
          <t>Adduct</t>
        </is>
      </c>
      <c r="C3" s="12" t="inlineStr">
        <is>
          <t>Ionization mode</t>
        </is>
      </c>
      <c r="D3" s="12" t="inlineStr">
        <is>
          <t>n standards averaged</t>
        </is>
      </c>
      <c r="E3" s="12" t="inlineStr">
        <is>
          <t>RIE relative to LPE</t>
        </is>
      </c>
      <c r="F3" s="12" t="inlineStr">
        <is>
          <t>log10(RIE)</t>
        </is>
      </c>
      <c r="G3" s="12" t="inlineStr">
        <is>
          <t>RIE in calibrated window [0.20, 100]?</t>
        </is>
      </c>
      <c r="H3" s="12" t="inlineStr">
        <is>
          <t>Correction status (Rule A)</t>
        </is>
      </c>
      <c r="I3" s="12" t="inlineStr">
        <is>
          <t>Applied correction factor</t>
        </is>
      </c>
      <c r="J3" s="12" t="inlineStr">
        <is>
          <t>Uncapped factor (1 / RIE)</t>
        </is>
      </c>
    </row>
    <row r="4">
      <c r="A4" s="8" t="inlineStr">
        <is>
          <t>MG</t>
        </is>
      </c>
      <c r="B4" s="8" t="inlineStr">
        <is>
          <t>M+H</t>
        </is>
      </c>
      <c r="C4" s="8" t="inlineStr">
        <is>
          <t>Positive</t>
        </is>
      </c>
      <c r="D4" s="8" t="n">
        <v>1</v>
      </c>
      <c r="E4" s="8" t="n">
        <v>0.0004827168141934</v>
      </c>
      <c r="F4" s="8" t="n">
        <v>-3.316307573391312</v>
      </c>
      <c r="G4" s="8" t="inlineStr">
        <is>
          <t>no</t>
        </is>
      </c>
      <c r="H4" s="8" t="inlineStr">
        <is>
          <t>uncalibrated</t>
        </is>
      </c>
      <c r="I4" s="35" t="n">
        <v>1</v>
      </c>
      <c r="J4" s="8" t="n">
        <v>2071.607970961109</v>
      </c>
    </row>
    <row r="5">
      <c r="A5" s="8" t="inlineStr">
        <is>
          <t>SQDG</t>
        </is>
      </c>
      <c r="B5" s="8" t="inlineStr">
        <is>
          <t>M+H</t>
        </is>
      </c>
      <c r="C5" s="8" t="inlineStr">
        <is>
          <t>Positive</t>
        </is>
      </c>
      <c r="D5" s="8" t="n">
        <v>1</v>
      </c>
      <c r="E5" s="8" t="n">
        <v>0.0009654242916175</v>
      </c>
      <c r="F5" s="8" t="n">
        <v>-3.015281777836871</v>
      </c>
      <c r="G5" s="8" t="inlineStr">
        <is>
          <t>no</t>
        </is>
      </c>
      <c r="H5" s="8" t="inlineStr">
        <is>
          <t>uncalibrated</t>
        </is>
      </c>
      <c r="I5" s="35" t="n">
        <v>1</v>
      </c>
      <c r="J5" s="8" t="n">
        <v>1035.81400290288</v>
      </c>
    </row>
    <row r="6">
      <c r="A6" s="8" t="inlineStr">
        <is>
          <t>MGDG</t>
        </is>
      </c>
      <c r="B6" s="8" t="inlineStr">
        <is>
          <t>M+H</t>
        </is>
      </c>
      <c r="C6" s="8" t="inlineStr">
        <is>
          <t>Positive</t>
        </is>
      </c>
      <c r="D6" s="8" t="n">
        <v>1</v>
      </c>
      <c r="E6" s="8" t="n">
        <v>0.0025911255260585</v>
      </c>
      <c r="F6" s="8" t="n">
        <v>-2.586511547278925</v>
      </c>
      <c r="G6" s="8" t="inlineStr">
        <is>
          <t>no</t>
        </is>
      </c>
      <c r="H6" s="8" t="inlineStr">
        <is>
          <t>uncalibrated</t>
        </is>
      </c>
      <c r="I6" s="35" t="n">
        <v>1</v>
      </c>
      <c r="J6" s="8" t="n">
        <v>385.9326728648124</v>
      </c>
    </row>
    <row r="7">
      <c r="A7" s="8" t="inlineStr">
        <is>
          <t>TG</t>
        </is>
      </c>
      <c r="B7" s="8" t="inlineStr">
        <is>
          <t>M+H</t>
        </is>
      </c>
      <c r="C7" s="8" t="inlineStr">
        <is>
          <t>Positive</t>
        </is>
      </c>
      <c r="D7" s="8" t="n">
        <v>1</v>
      </c>
      <c r="E7" s="8" t="n">
        <v>0.0060515052824156</v>
      </c>
      <c r="F7" s="8" t="n">
        <v>-2.218136583275918</v>
      </c>
      <c r="G7" s="8" t="inlineStr">
        <is>
          <t>no</t>
        </is>
      </c>
      <c r="H7" s="8" t="inlineStr">
        <is>
          <t>uncalibrated</t>
        </is>
      </c>
      <c r="I7" s="35" t="n">
        <v>1</v>
      </c>
      <c r="J7" s="8" t="n">
        <v>165.2481413022623</v>
      </c>
    </row>
    <row r="8">
      <c r="A8" s="8" t="inlineStr">
        <is>
          <t>DG</t>
        </is>
      </c>
      <c r="B8" s="8" t="inlineStr">
        <is>
          <t>M+H</t>
        </is>
      </c>
      <c r="C8" s="8" t="inlineStr">
        <is>
          <t>Positive</t>
        </is>
      </c>
      <c r="D8" s="8" t="n">
        <v>2</v>
      </c>
      <c r="E8" s="8" t="n">
        <v>0.03234213678748555</v>
      </c>
      <c r="F8" s="8" t="n">
        <v>-1.490231290417317</v>
      </c>
      <c r="G8" s="8" t="inlineStr">
        <is>
          <t>no</t>
        </is>
      </c>
      <c r="H8" s="8" t="inlineStr">
        <is>
          <t>uncalibrated</t>
        </is>
      </c>
      <c r="I8" s="35" t="n">
        <v>1</v>
      </c>
      <c r="J8" s="8" t="n">
        <v>30.91941656702594</v>
      </c>
    </row>
    <row r="9">
      <c r="A9" s="8" t="inlineStr">
        <is>
          <t>CE</t>
        </is>
      </c>
      <c r="B9" s="8" t="inlineStr">
        <is>
          <t>M+H</t>
        </is>
      </c>
      <c r="C9" s="8" t="inlineStr">
        <is>
          <t>Positive</t>
        </is>
      </c>
      <c r="D9" s="8" t="n">
        <v>1</v>
      </c>
      <c r="E9" s="8" t="n">
        <v>0.1055441840973451</v>
      </c>
      <c r="F9" s="8" t="n">
        <v>-0.9765656930433946</v>
      </c>
      <c r="G9" s="8" t="inlineStr">
        <is>
          <t>no</t>
        </is>
      </c>
      <c r="H9" s="8" t="inlineStr">
        <is>
          <t>uncalibrated</t>
        </is>
      </c>
      <c r="I9" s="35" t="n">
        <v>1</v>
      </c>
      <c r="J9" s="8" t="n">
        <v>9.47470491673595</v>
      </c>
    </row>
    <row r="10">
      <c r="A10" s="8" t="inlineStr">
        <is>
          <t>PG</t>
        </is>
      </c>
      <c r="B10" s="8" t="inlineStr">
        <is>
          <t>M+H</t>
        </is>
      </c>
      <c r="C10" s="8" t="inlineStr">
        <is>
          <t>Positive</t>
        </is>
      </c>
      <c r="D10" s="8" t="n">
        <v>2</v>
      </c>
      <c r="E10" s="8" t="n">
        <v>0.1286174268722725</v>
      </c>
      <c r="F10" s="8" t="n">
        <v>-0.8907001831870212</v>
      </c>
      <c r="G10" s="8" t="inlineStr">
        <is>
          <t>no</t>
        </is>
      </c>
      <c r="H10" s="8" t="inlineStr">
        <is>
          <t>uncalibrated</t>
        </is>
      </c>
      <c r="I10" s="35" t="n">
        <v>1</v>
      </c>
      <c r="J10" s="8" t="n">
        <v>7.774996159681228</v>
      </c>
    </row>
    <row r="11">
      <c r="A11" s="8" t="inlineStr">
        <is>
          <t>PI</t>
        </is>
      </c>
      <c r="B11" s="8" t="inlineStr">
        <is>
          <t>M+H</t>
        </is>
      </c>
      <c r="C11" s="8" t="inlineStr">
        <is>
          <t>Positive</t>
        </is>
      </c>
      <c r="D11" s="8" t="n">
        <v>2</v>
      </c>
      <c r="E11" s="8" t="n">
        <v>0.2637555321986821</v>
      </c>
      <c r="F11" s="8" t="n">
        <v>-0.5787984223931579</v>
      </c>
      <c r="G11" s="8" t="inlineStr">
        <is>
          <t>yes</t>
        </is>
      </c>
      <c r="H11" s="8" t="inlineStr">
        <is>
          <t>calibrated</t>
        </is>
      </c>
      <c r="I11" s="35" t="n">
        <v>3.791389669304524</v>
      </c>
      <c r="J11" s="8" t="n">
        <v>3.791389669304524</v>
      </c>
    </row>
    <row r="12">
      <c r="A12" s="8" t="inlineStr">
        <is>
          <t>CERP</t>
        </is>
      </c>
      <c r="B12" s="8" t="inlineStr">
        <is>
          <t>M+H</t>
        </is>
      </c>
      <c r="C12" s="8" t="inlineStr">
        <is>
          <t>Positive</t>
        </is>
      </c>
      <c r="D12" s="8" t="n">
        <v>1</v>
      </c>
      <c r="E12" s="8" t="n">
        <v>0.444418829065429</v>
      </c>
      <c r="F12" s="8" t="n">
        <v>-0.3522075492226546</v>
      </c>
      <c r="G12" s="8" t="inlineStr">
        <is>
          <t>yes</t>
        </is>
      </c>
      <c r="H12" s="8" t="inlineStr">
        <is>
          <t>calibrated</t>
        </is>
      </c>
      <c r="I12" s="35" t="n">
        <v>2.250129685330628</v>
      </c>
      <c r="J12" s="8" t="n">
        <v>2.250129685330628</v>
      </c>
    </row>
    <row r="13">
      <c r="A13" s="8" t="inlineStr">
        <is>
          <t>LPA</t>
        </is>
      </c>
      <c r="B13" s="8" t="inlineStr">
        <is>
          <t>M+H</t>
        </is>
      </c>
      <c r="C13" s="8" t="inlineStr">
        <is>
          <t>Positive</t>
        </is>
      </c>
      <c r="D13" s="8" t="n">
        <v>1</v>
      </c>
      <c r="E13" s="8" t="n">
        <v>0.8116349052031719</v>
      </c>
      <c r="F13" s="8" t="n">
        <v>-0.09063928395121579</v>
      </c>
      <c r="G13" s="8" t="inlineStr">
        <is>
          <t>yes</t>
        </is>
      </c>
      <c r="H13" s="8" t="inlineStr">
        <is>
          <t>calibrated</t>
        </is>
      </c>
      <c r="I13" s="35" t="n">
        <v>1.232081066978848</v>
      </c>
      <c r="J13" s="8" t="n">
        <v>1.232081066978848</v>
      </c>
    </row>
    <row r="14">
      <c r="A14" s="8" t="inlineStr">
        <is>
          <t>HEXCER</t>
        </is>
      </c>
      <c r="B14" s="8" t="inlineStr">
        <is>
          <t>M+H</t>
        </is>
      </c>
      <c r="C14" s="8" t="inlineStr">
        <is>
          <t>Positive</t>
        </is>
      </c>
      <c r="D14" s="8" t="n">
        <v>1</v>
      </c>
      <c r="E14" s="8" t="n">
        <v>1.441419521499908</v>
      </c>
      <c r="F14" s="8" t="n">
        <v>0.1587903995204805</v>
      </c>
      <c r="G14" s="8" t="inlineStr">
        <is>
          <t>yes</t>
        </is>
      </c>
      <c r="H14" s="8" t="inlineStr">
        <is>
          <t>calibrated</t>
        </is>
      </c>
      <c r="I14" s="35" t="n">
        <v>0.693760549988544</v>
      </c>
      <c r="J14" s="8" t="n">
        <v>0.693760549988544</v>
      </c>
    </row>
    <row r="15">
      <c r="A15" s="8" t="inlineStr">
        <is>
          <t>CER</t>
        </is>
      </c>
      <c r="B15" s="8" t="inlineStr">
        <is>
          <t>M+H</t>
        </is>
      </c>
      <c r="C15" s="8" t="inlineStr">
        <is>
          <t>Positive</t>
        </is>
      </c>
      <c r="D15" s="8" t="n">
        <v>2</v>
      </c>
      <c r="E15" s="8" t="n">
        <v>3.781754094087202</v>
      </c>
      <c r="F15" s="8" t="n">
        <v>0.5776932857324281</v>
      </c>
      <c r="G15" s="8" t="inlineStr">
        <is>
          <t>yes</t>
        </is>
      </c>
      <c r="H15" s="8" t="inlineStr">
        <is>
          <t>calibrated</t>
        </is>
      </c>
      <c r="I15" s="35" t="n">
        <v>0.2644275579851971</v>
      </c>
      <c r="J15" s="8" t="n">
        <v>0.2644275579851971</v>
      </c>
    </row>
    <row r="16">
      <c r="A16" s="8" t="inlineStr">
        <is>
          <t>LPI</t>
        </is>
      </c>
      <c r="B16" s="8" t="inlineStr">
        <is>
          <t>M+H</t>
        </is>
      </c>
      <c r="C16" s="8" t="inlineStr">
        <is>
          <t>Positive</t>
        </is>
      </c>
      <c r="D16" s="8" t="n">
        <v>1</v>
      </c>
      <c r="E16" s="8" t="n">
        <v>4.014572906833012</v>
      </c>
      <c r="F16" s="8" t="n">
        <v>0.6036393493477593</v>
      </c>
      <c r="G16" s="8" t="inlineStr">
        <is>
          <t>yes</t>
        </is>
      </c>
      <c r="H16" s="8" t="inlineStr">
        <is>
          <t>calibrated</t>
        </is>
      </c>
      <c r="I16" s="35" t="n">
        <v>0.2490924995528037</v>
      </c>
      <c r="J16" s="8" t="n">
        <v>0.2490924995528037</v>
      </c>
    </row>
    <row r="17">
      <c r="A17" s="8" t="inlineStr">
        <is>
          <t>LPG</t>
        </is>
      </c>
      <c r="B17" s="8" t="inlineStr">
        <is>
          <t>M+H</t>
        </is>
      </c>
      <c r="C17" s="8" t="inlineStr">
        <is>
          <t>Positive</t>
        </is>
      </c>
      <c r="D17" s="8" t="n">
        <v>1</v>
      </c>
      <c r="E17" s="8" t="n">
        <v>4.860680602561957</v>
      </c>
      <c r="F17" s="8" t="n">
        <v>0.686697084332677</v>
      </c>
      <c r="G17" s="8" t="inlineStr">
        <is>
          <t>yes</t>
        </is>
      </c>
      <c r="H17" s="8" t="inlineStr">
        <is>
          <t>calibrated</t>
        </is>
      </c>
      <c r="I17" s="35" t="n">
        <v>0.2057325057468129</v>
      </c>
      <c r="J17" s="8" t="n">
        <v>0.2057325057468129</v>
      </c>
    </row>
    <row r="18">
      <c r="A18" s="8" t="inlineStr">
        <is>
          <t>LPE</t>
        </is>
      </c>
      <c r="B18" s="8" t="inlineStr">
        <is>
          <t>M+H</t>
        </is>
      </c>
      <c r="C18" s="8" t="inlineStr">
        <is>
          <t>Positive</t>
        </is>
      </c>
      <c r="D18" s="8" t="n">
        <v>3</v>
      </c>
      <c r="E18" s="8" t="n">
        <v>6.141720268092835</v>
      </c>
      <c r="F18" s="8" t="n">
        <v>0.7882900321021227</v>
      </c>
      <c r="G18" s="8" t="inlineStr">
        <is>
          <t>yes</t>
        </is>
      </c>
      <c r="H18" s="8" t="inlineStr">
        <is>
          <t>calibrated</t>
        </is>
      </c>
      <c r="I18" s="35" t="n">
        <v>0.1628208313548813</v>
      </c>
      <c r="J18" s="8" t="n">
        <v>0.1628208313548813</v>
      </c>
    </row>
    <row r="19">
      <c r="A19" s="8" t="inlineStr">
        <is>
          <t>PS</t>
        </is>
      </c>
      <c r="B19" s="8" t="inlineStr">
        <is>
          <t>M+H</t>
        </is>
      </c>
      <c r="C19" s="8" t="inlineStr">
        <is>
          <t>Positive</t>
        </is>
      </c>
      <c r="D19" s="8" t="n">
        <v>3</v>
      </c>
      <c r="E19" s="8" t="n">
        <v>7.023730239070303</v>
      </c>
      <c r="F19" s="8" t="n">
        <v>0.8465678232378845</v>
      </c>
      <c r="G19" s="8" t="inlineStr">
        <is>
          <t>yes</t>
        </is>
      </c>
      <c r="H19" s="8" t="inlineStr">
        <is>
          <t>calibrated</t>
        </is>
      </c>
      <c r="I19" s="35" t="n">
        <v>0.1423744884786984</v>
      </c>
      <c r="J19" s="8" t="n">
        <v>0.1423744884786984</v>
      </c>
    </row>
    <row r="20">
      <c r="A20" s="8" t="inlineStr">
        <is>
          <t>LPS</t>
        </is>
      </c>
      <c r="B20" s="8" t="inlineStr">
        <is>
          <t>M+H</t>
        </is>
      </c>
      <c r="C20" s="8" t="inlineStr">
        <is>
          <t>Positive</t>
        </is>
      </c>
      <c r="D20" s="8" t="n">
        <v>1</v>
      </c>
      <c r="E20" s="8" t="n">
        <v>12.03963831940839</v>
      </c>
      <c r="F20" s="8" t="n">
        <v>1.080613440555986</v>
      </c>
      <c r="G20" s="8" t="inlineStr">
        <is>
          <t>yes</t>
        </is>
      </c>
      <c r="H20" s="8" t="inlineStr">
        <is>
          <t>calibrated</t>
        </is>
      </c>
      <c r="I20" s="35" t="n">
        <v>0.08305897348992279</v>
      </c>
      <c r="J20" s="8" t="n">
        <v>0.08305897348992279</v>
      </c>
    </row>
    <row r="21">
      <c r="A21" s="8" t="inlineStr">
        <is>
          <t>PE</t>
        </is>
      </c>
      <c r="B21" s="8" t="inlineStr">
        <is>
          <t>M+H</t>
        </is>
      </c>
      <c r="C21" s="8" t="inlineStr">
        <is>
          <t>Positive</t>
        </is>
      </c>
      <c r="D21" s="8" t="n">
        <v>3</v>
      </c>
      <c r="E21" s="8" t="n">
        <v>13.17197973138795</v>
      </c>
      <c r="F21" s="8" t="n">
        <v>1.119651053762225</v>
      </c>
      <c r="G21" s="8" t="inlineStr">
        <is>
          <t>yes</t>
        </is>
      </c>
      <c r="H21" s="8" t="inlineStr">
        <is>
          <t>calibrated</t>
        </is>
      </c>
      <c r="I21" s="35" t="n">
        <v>0.07591873206554263</v>
      </c>
      <c r="J21" s="8" t="n">
        <v>0.07591873206554263</v>
      </c>
    </row>
    <row r="22">
      <c r="A22" s="8" t="inlineStr">
        <is>
          <t>DGTS</t>
        </is>
      </c>
      <c r="B22" s="8" t="inlineStr">
        <is>
          <t>M+H</t>
        </is>
      </c>
      <c r="C22" s="8" t="inlineStr">
        <is>
          <t>Positive</t>
        </is>
      </c>
      <c r="D22" s="8" t="n">
        <v>1</v>
      </c>
      <c r="E22" s="8" t="n">
        <v>22.90749257059057</v>
      </c>
      <c r="F22" s="8" t="n">
        <v>1.359977554385712</v>
      </c>
      <c r="G22" s="8" t="inlineStr">
        <is>
          <t>yes</t>
        </is>
      </c>
      <c r="H22" s="8" t="inlineStr">
        <is>
          <t>calibrated</t>
        </is>
      </c>
      <c r="I22" s="35" t="n">
        <v>0.04365383932433681</v>
      </c>
      <c r="J22" s="8" t="n">
        <v>0.04365383932433681</v>
      </c>
    </row>
    <row r="23">
      <c r="A23" s="8" t="inlineStr">
        <is>
          <t>SM</t>
        </is>
      </c>
      <c r="B23" s="8" t="inlineStr">
        <is>
          <t>M+H</t>
        </is>
      </c>
      <c r="C23" s="8" t="inlineStr">
        <is>
          <t>Positive</t>
        </is>
      </c>
      <c r="D23" s="8" t="n">
        <v>3</v>
      </c>
      <c r="E23" s="8" t="n">
        <v>31.13196197127053</v>
      </c>
      <c r="F23" s="8" t="n">
        <v>1.493206491271869</v>
      </c>
      <c r="G23" s="8" t="inlineStr">
        <is>
          <t>yes</t>
        </is>
      </c>
      <c r="H23" s="8" t="inlineStr">
        <is>
          <t>calibrated</t>
        </is>
      </c>
      <c r="I23" s="35" t="n">
        <v>0.03212132922823267</v>
      </c>
      <c r="J23" s="8" t="n">
        <v>0.03212132922823267</v>
      </c>
    </row>
    <row r="24">
      <c r="A24" s="8" t="inlineStr">
        <is>
          <t>PC</t>
        </is>
      </c>
      <c r="B24" s="8" t="inlineStr">
        <is>
          <t>M+H</t>
        </is>
      </c>
      <c r="C24" s="8" t="inlineStr">
        <is>
          <t>Positive</t>
        </is>
      </c>
      <c r="D24" s="8" t="n">
        <v>3</v>
      </c>
      <c r="E24" s="8" t="n">
        <v>48.29195920732115</v>
      </c>
      <c r="F24" s="8" t="n">
        <v>1.683874825107703</v>
      </c>
      <c r="G24" s="8" t="inlineStr">
        <is>
          <t>yes</t>
        </is>
      </c>
      <c r="H24" s="8" t="inlineStr">
        <is>
          <t>calibrated</t>
        </is>
      </c>
      <c r="I24" s="35" t="n">
        <v>0.0207073810301819</v>
      </c>
      <c r="J24" s="8" t="n">
        <v>0.0207073810301819</v>
      </c>
    </row>
    <row r="25">
      <c r="A25" s="8" t="inlineStr">
        <is>
          <t>LPC</t>
        </is>
      </c>
      <c r="B25" s="8" t="inlineStr">
        <is>
          <t>M+H</t>
        </is>
      </c>
      <c r="C25" s="8" t="inlineStr">
        <is>
          <t>Positive</t>
        </is>
      </c>
      <c r="D25" s="8" t="n">
        <v>3</v>
      </c>
      <c r="E25" s="8" t="n">
        <v>976.4858407505644</v>
      </c>
      <c r="F25" s="8" t="n">
        <v>2.989665950308481</v>
      </c>
      <c r="G25" s="8" t="inlineStr">
        <is>
          <t>no</t>
        </is>
      </c>
      <c r="H25" s="8" t="inlineStr">
        <is>
          <t>uncalibrated</t>
        </is>
      </c>
      <c r="I25" s="35" t="n">
        <v>1</v>
      </c>
      <c r="J25" s="8" t="n">
        <v>0.001024080389359626</v>
      </c>
    </row>
    <row r="26">
      <c r="A26" s="8" t="inlineStr">
        <is>
          <t>MG</t>
        </is>
      </c>
      <c r="B26" s="8" t="inlineStr">
        <is>
          <t>M+NH4</t>
        </is>
      </c>
      <c r="C26" s="8" t="inlineStr">
        <is>
          <t>Positive</t>
        </is>
      </c>
      <c r="D26" s="8" t="n">
        <v>1</v>
      </c>
      <c r="E26" s="8" t="n">
        <v>0.0031630935087593</v>
      </c>
      <c r="F26" s="8" t="n">
        <v>-2.499887969090317</v>
      </c>
      <c r="G26" s="8" t="inlineStr">
        <is>
          <t>no</t>
        </is>
      </c>
      <c r="H26" s="8" t="inlineStr">
        <is>
          <t>uncalibrated</t>
        </is>
      </c>
      <c r="I26" s="35" t="n">
        <v>1</v>
      </c>
      <c r="J26" s="8" t="n">
        <v>316.1462022007192</v>
      </c>
    </row>
    <row r="27">
      <c r="A27" s="8" t="inlineStr">
        <is>
          <t>CER</t>
        </is>
      </c>
      <c r="B27" s="8" t="inlineStr">
        <is>
          <t>M+NH4</t>
        </is>
      </c>
      <c r="C27" s="8" t="inlineStr">
        <is>
          <t>Positive</t>
        </is>
      </c>
      <c r="D27" s="8" t="n">
        <v>1</v>
      </c>
      <c r="E27" s="8" t="n">
        <v>0.0089697882915508</v>
      </c>
      <c r="F27" s="8" t="n">
        <v>-2.047217807223054</v>
      </c>
      <c r="G27" s="8" t="inlineStr">
        <is>
          <t>no</t>
        </is>
      </c>
      <c r="H27" s="8" t="inlineStr">
        <is>
          <t>uncalibrated</t>
        </is>
      </c>
      <c r="I27" s="35" t="n">
        <v>1</v>
      </c>
      <c r="J27" s="8" t="n">
        <v>111.4853514371083</v>
      </c>
    </row>
    <row r="28">
      <c r="A28" s="8" t="inlineStr">
        <is>
          <t>SQDG</t>
        </is>
      </c>
      <c r="B28" s="8" t="inlineStr">
        <is>
          <t>M+NH4</t>
        </is>
      </c>
      <c r="C28" s="8" t="inlineStr">
        <is>
          <t>Positive</t>
        </is>
      </c>
      <c r="D28" s="8" t="n">
        <v>1</v>
      </c>
      <c r="E28" s="8" t="n">
        <v>0.0168683287743549</v>
      </c>
      <c r="F28" s="8" t="n">
        <v>-1.772927942901623</v>
      </c>
      <c r="G28" s="8" t="inlineStr">
        <is>
          <t>no</t>
        </is>
      </c>
      <c r="H28" s="8" t="inlineStr">
        <is>
          <t>uncalibrated</t>
        </is>
      </c>
      <c r="I28" s="35" t="n">
        <v>1</v>
      </c>
      <c r="J28" s="8" t="n">
        <v>59.28269559935958</v>
      </c>
    </row>
    <row r="29">
      <c r="A29" s="8" t="inlineStr">
        <is>
          <t>DGTS</t>
        </is>
      </c>
      <c r="B29" s="8" t="inlineStr">
        <is>
          <t>M+NH4</t>
        </is>
      </c>
      <c r="C29" s="8" t="inlineStr">
        <is>
          <t>Positive</t>
        </is>
      </c>
      <c r="D29" s="8" t="n">
        <v>1</v>
      </c>
      <c r="E29" s="8" t="n">
        <v>0.0255380786153421</v>
      </c>
      <c r="F29" s="8" t="n">
        <v>-1.59281178045334</v>
      </c>
      <c r="G29" s="8" t="inlineStr">
        <is>
          <t>no</t>
        </is>
      </c>
      <c r="H29" s="8" t="inlineStr">
        <is>
          <t>uncalibrated</t>
        </is>
      </c>
      <c r="I29" s="35" t="n">
        <v>1</v>
      </c>
      <c r="J29" s="8" t="n">
        <v>39.15721362840688</v>
      </c>
    </row>
    <row r="30">
      <c r="A30" s="8" t="inlineStr">
        <is>
          <t>DGDG</t>
        </is>
      </c>
      <c r="B30" s="8" t="inlineStr">
        <is>
          <t>M+NH4</t>
        </is>
      </c>
      <c r="C30" s="8" t="inlineStr">
        <is>
          <t>Positive</t>
        </is>
      </c>
      <c r="D30" s="8" t="n">
        <v>1</v>
      </c>
      <c r="E30" s="8" t="n">
        <v>0.1249790925364936</v>
      </c>
      <c r="F30" s="8" t="n">
        <v>-0.9031626330357424</v>
      </c>
      <c r="G30" s="8" t="inlineStr">
        <is>
          <t>no</t>
        </is>
      </c>
      <c r="H30" s="8" t="inlineStr">
        <is>
          <t>uncalibrated</t>
        </is>
      </c>
      <c r="I30" s="35" t="n">
        <v>1</v>
      </c>
      <c r="J30" s="8" t="n">
        <v>8.00133830150833</v>
      </c>
    </row>
    <row r="31">
      <c r="A31" s="8" t="inlineStr">
        <is>
          <t>PS</t>
        </is>
      </c>
      <c r="B31" s="8" t="inlineStr">
        <is>
          <t>M+NH4</t>
        </is>
      </c>
      <c r="C31" s="8" t="inlineStr">
        <is>
          <t>Positive</t>
        </is>
      </c>
      <c r="D31" s="8" t="n">
        <v>1</v>
      </c>
      <c r="E31" s="8" t="n">
        <v>1</v>
      </c>
      <c r="F31" s="8" t="n">
        <v>0</v>
      </c>
      <c r="G31" s="8" t="inlineStr">
        <is>
          <t>yes</t>
        </is>
      </c>
      <c r="H31" s="8" t="inlineStr">
        <is>
          <t>calibrated</t>
        </is>
      </c>
      <c r="I31" s="35" t="n">
        <v>1</v>
      </c>
      <c r="J31" s="8" t="n">
        <v>1</v>
      </c>
    </row>
    <row r="32">
      <c r="A32" s="8" t="inlineStr">
        <is>
          <t>MGDG</t>
        </is>
      </c>
      <c r="B32" s="8" t="inlineStr">
        <is>
          <t>M+NH4</t>
        </is>
      </c>
      <c r="C32" s="8" t="inlineStr">
        <is>
          <t>Positive</t>
        </is>
      </c>
      <c r="D32" s="8" t="n">
        <v>1</v>
      </c>
      <c r="E32" s="8" t="n">
        <v>3.615811760252428</v>
      </c>
      <c r="F32" s="8" t="n">
        <v>0.5582058129505585</v>
      </c>
      <c r="G32" s="8" t="inlineStr">
        <is>
          <t>yes</t>
        </is>
      </c>
      <c r="H32" s="8" t="inlineStr">
        <is>
          <t>calibrated</t>
        </is>
      </c>
      <c r="I32" s="35" t="n">
        <v>0.2765630697351866</v>
      </c>
      <c r="J32" s="8" t="n">
        <v>0.2765630697351866</v>
      </c>
    </row>
    <row r="33">
      <c r="A33" s="8" t="inlineStr">
        <is>
          <t>DG</t>
        </is>
      </c>
      <c r="B33" s="8" t="inlineStr">
        <is>
          <t>M+NH4</t>
        </is>
      </c>
      <c r="C33" s="8" t="inlineStr">
        <is>
          <t>Positive</t>
        </is>
      </c>
      <c r="D33" s="8" t="n">
        <v>3</v>
      </c>
      <c r="E33" s="8" t="n">
        <v>4.087772292838461</v>
      </c>
      <c r="F33" s="8" t="n">
        <v>0.6114866956594213</v>
      </c>
      <c r="G33" s="8" t="inlineStr">
        <is>
          <t>yes</t>
        </is>
      </c>
      <c r="H33" s="8" t="inlineStr">
        <is>
          <t>calibrated</t>
        </is>
      </c>
      <c r="I33" s="35" t="n">
        <v>0.2446320216397429</v>
      </c>
      <c r="J33" s="8" t="n">
        <v>0.2446320216397429</v>
      </c>
    </row>
    <row r="34">
      <c r="A34" s="8" t="inlineStr">
        <is>
          <t>PI</t>
        </is>
      </c>
      <c r="B34" s="8" t="inlineStr">
        <is>
          <t>M+NH4</t>
        </is>
      </c>
      <c r="C34" s="8" t="inlineStr">
        <is>
          <t>Positive</t>
        </is>
      </c>
      <c r="D34" s="8" t="n">
        <v>3</v>
      </c>
      <c r="E34" s="8" t="n">
        <v>11.16879170887919</v>
      </c>
      <c r="F34" s="8" t="n">
        <v>1.048006191687638</v>
      </c>
      <c r="G34" s="8" t="inlineStr">
        <is>
          <t>yes</t>
        </is>
      </c>
      <c r="H34" s="8" t="inlineStr">
        <is>
          <t>calibrated</t>
        </is>
      </c>
      <c r="I34" s="35" t="n">
        <v>0.08953520005257148</v>
      </c>
      <c r="J34" s="8" t="n">
        <v>0.08953520005257148</v>
      </c>
    </row>
    <row r="35">
      <c r="A35" s="8" t="inlineStr">
        <is>
          <t>TG</t>
        </is>
      </c>
      <c r="B35" s="8" t="inlineStr">
        <is>
          <t>M+NH4</t>
        </is>
      </c>
      <c r="C35" s="8" t="inlineStr">
        <is>
          <t>Positive</t>
        </is>
      </c>
      <c r="D35" s="8" t="n">
        <v>2</v>
      </c>
      <c r="E35" s="8" t="n">
        <v>13.37648520526356</v>
      </c>
      <c r="F35" s="8" t="n">
        <v>1.126342013544908</v>
      </c>
      <c r="G35" s="8" t="inlineStr">
        <is>
          <t>yes</t>
        </is>
      </c>
      <c r="H35" s="8" t="inlineStr">
        <is>
          <t>calibrated</t>
        </is>
      </c>
      <c r="I35" s="35" t="n">
        <v>0.07475805375290263</v>
      </c>
      <c r="J35" s="8" t="n">
        <v>0.07475805375290263</v>
      </c>
    </row>
    <row r="36">
      <c r="A36" s="8" t="inlineStr">
        <is>
          <t>PG</t>
        </is>
      </c>
      <c r="B36" s="8" t="inlineStr">
        <is>
          <t>M+NH4</t>
        </is>
      </c>
      <c r="C36" s="8" t="inlineStr">
        <is>
          <t>Positive</t>
        </is>
      </c>
      <c r="D36" s="8" t="n">
        <v>3</v>
      </c>
      <c r="E36" s="8" t="n">
        <v>17.9455721385319</v>
      </c>
      <c r="F36" s="8" t="n">
        <v>1.253957309013438</v>
      </c>
      <c r="G36" s="8" t="inlineStr">
        <is>
          <t>yes</t>
        </is>
      </c>
      <c r="H36" s="8" t="inlineStr">
        <is>
          <t>calibrated</t>
        </is>
      </c>
      <c r="I36" s="35" t="n">
        <v>0.05572405227765607</v>
      </c>
      <c r="J36" s="8" t="n">
        <v>0.05572405227765607</v>
      </c>
    </row>
    <row r="37">
      <c r="A37" s="8" t="inlineStr">
        <is>
          <t>PA</t>
        </is>
      </c>
      <c r="B37" s="8" t="inlineStr">
        <is>
          <t>M+NH4</t>
        </is>
      </c>
      <c r="C37" s="8" t="inlineStr">
        <is>
          <t>Positive</t>
        </is>
      </c>
      <c r="D37" s="8" t="n">
        <v>1</v>
      </c>
      <c r="E37" s="8" t="n">
        <v>47.31548158024683</v>
      </c>
      <c r="F37" s="8" t="n">
        <v>1.67500326472894</v>
      </c>
      <c r="G37" s="8" t="inlineStr">
        <is>
          <t>yes</t>
        </is>
      </c>
      <c r="H37" s="8" t="inlineStr">
        <is>
          <t>calibrated</t>
        </is>
      </c>
      <c r="I37" s="35" t="n">
        <v>0.02113473152130988</v>
      </c>
      <c r="J37" s="8" t="n">
        <v>0.02113473152130988</v>
      </c>
    </row>
    <row r="38"/>
    <row r="39">
      <c r="A39" s="33" t="inlineStr">
        <is>
          <t>Uncalibrated = mean RIE outside the trusted window [0.20, 100]; Rule A leaves these classes uncorrected (factor 1.0) rather than extrapolating. Uncapped factor = naive 1 / RIE, shown for reference.</t>
        </is>
      </c>
    </row>
  </sheetData>
  <mergeCells count="3">
    <mergeCell ref="A39:J39"/>
    <mergeCell ref="A1:J1"/>
    <mergeCell ref="A2:J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outlineLevelCol="0"/>
  <cols>
    <col width="115" customWidth="1" min="1" max="1"/>
  </cols>
  <sheetData>
    <row r="1">
      <c r="A1" s="32" t="inlineStr">
        <is>
          <t>Supplementary Table S8. ClimGrass per-treatment composition (strict phyla, Figure 5 v2)</t>
        </is>
      </c>
    </row>
    <row r="2">
      <c r="A2" s="11" t="inlineStr">
        <is>
          <t>Lipid-derived composition for the four ClimGrass treatments (ambient control, ambient + drought, future climate, future + drought; n = 3 each), from the Figure 5 v2 decomposition on the 16 strict analysis phyla.</t>
        </is>
      </c>
    </row>
    <row r="3">
      <c r="A3" s="11" t="inlineStr">
        <is>
          <t>Primary composition = fold-change-weighted Bray-Curtis with hygiene rules (Rule A calibration gate, enriched-weight split, sqrt), the living-community estimate shown as the figure's bars. Marker-panel composition (the provenance-of-signal estimate, shown as the figure's diamonds) is given per sample in sheet S8e.</t>
        </is>
      </c>
    </row>
    <row r="4">
      <c r="A4" s="11" t="inlineStr">
        <is>
          <t>Sheets: 'Kingdom_by_treatment' (S8a) and 'Phylum_by_treatment' (S8b) give per-treatment mean % and SD (n=3). 'Treatment_effects' (S8c) gives drought and climate contrasts from CLR-centred fingerprint-set permutation tests (400 stratified relabelings) with BH q, plus the pre-specified qSIP replication family. 'Per_sample_fcweighted' (S8d) and 'Per_sample_markerpanel' (S8e) give the 12 individual soil samples.</t>
        </is>
      </c>
    </row>
    <row r="5">
      <c r="A5" s="11" t="inlineStr">
        <is>
          <t>Treatment contrasts are exploratory (n = 3 per treatment; n = 6 per side). Composition values are fractions of total decomposed signal; by-treatment sheets express them as percentages. Kingdom labels follow the locked ecological_group vocabulary (Viridiplantae, Protists).</t>
        </is>
      </c>
    </row>
    <row r="6">
      <c r="A6" s="11" t="inlineStr">
        <is>
          <t>Headline drought result (qSIP replication): Pseudomonadota decreases under drought, observed log2FC -0.60, one-sided permutation p = 0.0025, BH q = 0.005 (family of 2). This is a pre-specified directional replication of Metze et al. 2023 qSIP predictions.</t>
        </is>
      </c>
    </row>
    <row r="7">
      <c r="A7" s="33" t="inlineStr">
        <is>
          <t>Source: outputs/analysis/ncbi-phylum-2026-08-04-v1/climgrass/figure5_redesign_2026-08-08_v2_archlips/ (composition_fcweighted_by_sample.csv, composition_winner_by_sample.csv, r_render/data/kingdom_composition.csv, fingerprint_set_effects.csv, qsip_replication_test.csv). Producer: paper2_repro/scripts/build_table_s8_strict16.py.</t>
        </is>
      </c>
    </row>
  </sheetData>
  <mergeCells count="7">
    <mergeCell ref="A4:H4"/>
    <mergeCell ref="A3:H3"/>
    <mergeCell ref="A5:H5"/>
    <mergeCell ref="A7:H7"/>
    <mergeCell ref="A2:H2"/>
    <mergeCell ref="A1:H1"/>
    <mergeCell ref="A6:H6"/>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outlineLevelCol="0"/>
  <cols>
    <col width="1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34" t="inlineStr">
        <is>
          <t>Supplementary Table S8a. Kingdom composition by treatment (mean % +/- SD, n=3)</t>
        </is>
      </c>
    </row>
    <row r="2">
      <c r="A2" s="12" t="inlineStr">
        <is>
          <t>Group</t>
        </is>
      </c>
      <c r="B2" s="12" t="inlineStr">
        <is>
          <t>Ambient_Control mean %</t>
        </is>
      </c>
      <c r="C2" s="12" t="inlineStr">
        <is>
          <t>Ambient_Control SD</t>
        </is>
      </c>
      <c r="D2" s="12" t="inlineStr">
        <is>
          <t>Ambient_Drought mean %</t>
        </is>
      </c>
      <c r="E2" s="12" t="inlineStr">
        <is>
          <t>Ambient_Drought SD</t>
        </is>
      </c>
      <c r="F2" s="12" t="inlineStr">
        <is>
          <t>Future_Control mean %</t>
        </is>
      </c>
      <c r="G2" s="12" t="inlineStr">
        <is>
          <t>Future_Control SD</t>
        </is>
      </c>
      <c r="H2" s="12" t="inlineStr">
        <is>
          <t>Future_Drought mean %</t>
        </is>
      </c>
      <c r="I2" s="12" t="inlineStr">
        <is>
          <t>Future_Drought SD</t>
        </is>
      </c>
      <c r="J2" s="12" t="inlineStr">
        <is>
          <t>Overall mean %</t>
        </is>
      </c>
    </row>
    <row r="3">
      <c r="A3" s="36" t="inlineStr">
        <is>
          <t>Bacteria</t>
        </is>
      </c>
      <c r="B3" s="37" t="n">
        <v>37.74</v>
      </c>
      <c r="C3" s="37" t="n">
        <v>2.33</v>
      </c>
      <c r="D3" s="37" t="n">
        <v>38.64</v>
      </c>
      <c r="E3" s="37" t="n">
        <v>1.12</v>
      </c>
      <c r="F3" s="37" t="n">
        <v>38.22</v>
      </c>
      <c r="G3" s="37" t="n">
        <v>2.06</v>
      </c>
      <c r="H3" s="37" t="n">
        <v>38.29</v>
      </c>
      <c r="I3" s="37" t="n">
        <v>2.8</v>
      </c>
      <c r="J3" s="37" t="n">
        <v>38.22</v>
      </c>
    </row>
    <row r="4">
      <c r="A4" s="36" t="inlineStr">
        <is>
          <t>Archaea</t>
        </is>
      </c>
      <c r="B4" s="37" t="n">
        <v>6.22</v>
      </c>
      <c r="C4" s="37" t="n">
        <v>1.69</v>
      </c>
      <c r="D4" s="37" t="n">
        <v>4.42</v>
      </c>
      <c r="E4" s="37" t="n">
        <v>4.64</v>
      </c>
      <c r="F4" s="37" t="n">
        <v>5.29</v>
      </c>
      <c r="G4" s="37" t="n">
        <v>2.39</v>
      </c>
      <c r="H4" s="37" t="n">
        <v>6.22</v>
      </c>
      <c r="I4" s="37" t="n">
        <v>2.11</v>
      </c>
      <c r="J4" s="37" t="n">
        <v>5.54</v>
      </c>
    </row>
    <row r="5">
      <c r="A5" s="36" t="inlineStr">
        <is>
          <t>Fungi</t>
        </is>
      </c>
      <c r="B5" s="37" t="n">
        <v>28.95</v>
      </c>
      <c r="C5" s="37" t="n">
        <v>3.14</v>
      </c>
      <c r="D5" s="37" t="n">
        <v>25.58</v>
      </c>
      <c r="E5" s="37" t="n">
        <v>1.79</v>
      </c>
      <c r="F5" s="37" t="n">
        <v>28.09</v>
      </c>
      <c r="G5" s="37" t="n">
        <v>3.54</v>
      </c>
      <c r="H5" s="37" t="n">
        <v>28.69</v>
      </c>
      <c r="I5" s="37" t="n">
        <v>1.64</v>
      </c>
      <c r="J5" s="37" t="n">
        <v>27.83</v>
      </c>
    </row>
    <row r="6">
      <c r="A6" s="36" t="inlineStr">
        <is>
          <t>Viridiplantae</t>
        </is>
      </c>
      <c r="B6" s="37" t="n">
        <v>9.26</v>
      </c>
      <c r="C6" s="37" t="n">
        <v>1.72</v>
      </c>
      <c r="D6" s="37" t="n">
        <v>10.2</v>
      </c>
      <c r="E6" s="37" t="n">
        <v>1.32</v>
      </c>
      <c r="F6" s="37" t="n">
        <v>9.31</v>
      </c>
      <c r="G6" s="37" t="n">
        <v>2.2</v>
      </c>
      <c r="H6" s="37" t="n">
        <v>9.630000000000001</v>
      </c>
      <c r="I6" s="37" t="n">
        <v>1.51</v>
      </c>
      <c r="J6" s="37" t="n">
        <v>9.6</v>
      </c>
    </row>
    <row r="7">
      <c r="A7" s="36" t="inlineStr">
        <is>
          <t>Animalia</t>
        </is>
      </c>
      <c r="B7" s="37" t="n">
        <v>13.9</v>
      </c>
      <c r="C7" s="37" t="n">
        <v>0.25</v>
      </c>
      <c r="D7" s="37" t="n">
        <v>16.63</v>
      </c>
      <c r="E7" s="37" t="n">
        <v>2.58</v>
      </c>
      <c r="F7" s="37" t="n">
        <v>14.94</v>
      </c>
      <c r="G7" s="37" t="n">
        <v>1.38</v>
      </c>
      <c r="H7" s="37" t="n">
        <v>13.4</v>
      </c>
      <c r="I7" s="37" t="n">
        <v>0.75</v>
      </c>
      <c r="J7" s="37" t="n">
        <v>14.71</v>
      </c>
    </row>
    <row r="8">
      <c r="A8" s="36" t="inlineStr">
        <is>
          <t>Protists</t>
        </is>
      </c>
      <c r="B8" s="37" t="n">
        <v>3.94</v>
      </c>
      <c r="C8" s="37" t="n">
        <v>0.09</v>
      </c>
      <c r="D8" s="37" t="n">
        <v>4.54</v>
      </c>
      <c r="E8" s="37" t="n">
        <v>0.89</v>
      </c>
      <c r="F8" s="37" t="n">
        <v>4.16</v>
      </c>
      <c r="G8" s="37" t="n">
        <v>0.3</v>
      </c>
      <c r="H8" s="37" t="n">
        <v>3.78</v>
      </c>
      <c r="I8" s="37" t="n">
        <v>0.14</v>
      </c>
      <c r="J8" s="37" t="n">
        <v>4.11</v>
      </c>
    </row>
  </sheetData>
  <mergeCells count="1">
    <mergeCell ref="A1:J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outlineLevelCol="0"/>
  <cols>
    <col width="1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34" t="inlineStr">
        <is>
          <t>Supplementary Table S8b. Phylum composition by treatment (mean % +/- SD, n=3)</t>
        </is>
      </c>
    </row>
    <row r="2">
      <c r="A2" s="12" t="inlineStr">
        <is>
          <t>Group</t>
        </is>
      </c>
      <c r="B2" s="12" t="inlineStr">
        <is>
          <t>Ambient_Control mean %</t>
        </is>
      </c>
      <c r="C2" s="12" t="inlineStr">
        <is>
          <t>Ambient_Control SD</t>
        </is>
      </c>
      <c r="D2" s="12" t="inlineStr">
        <is>
          <t>Ambient_Drought mean %</t>
        </is>
      </c>
      <c r="E2" s="12" t="inlineStr">
        <is>
          <t>Ambient_Drought SD</t>
        </is>
      </c>
      <c r="F2" s="12" t="inlineStr">
        <is>
          <t>Future_Control mean %</t>
        </is>
      </c>
      <c r="G2" s="12" t="inlineStr">
        <is>
          <t>Future_Control SD</t>
        </is>
      </c>
      <c r="H2" s="12" t="inlineStr">
        <is>
          <t>Future_Drought mean %</t>
        </is>
      </c>
      <c r="I2" s="12" t="inlineStr">
        <is>
          <t>Future_Drought SD</t>
        </is>
      </c>
      <c r="J2" s="12" t="inlineStr">
        <is>
          <t>Overall mean %</t>
        </is>
      </c>
    </row>
    <row r="3">
      <c r="A3" s="36" t="inlineStr">
        <is>
          <t>Actinomycetota</t>
        </is>
      </c>
      <c r="B3" s="37" t="n">
        <v>18.82</v>
      </c>
      <c r="C3" s="37" t="n">
        <v>0.48</v>
      </c>
      <c r="D3" s="37" t="n">
        <v>19.9</v>
      </c>
      <c r="E3" s="37" t="n">
        <v>3.27</v>
      </c>
      <c r="F3" s="37" t="n">
        <v>19.1</v>
      </c>
      <c r="G3" s="37" t="n">
        <v>1.25</v>
      </c>
      <c r="H3" s="37" t="n">
        <v>22.9</v>
      </c>
      <c r="I3" s="37" t="n">
        <v>4.67</v>
      </c>
      <c r="J3" s="37" t="n">
        <v>20.18</v>
      </c>
    </row>
    <row r="4">
      <c r="A4" s="36" t="inlineStr">
        <is>
          <t>Bacillota</t>
        </is>
      </c>
      <c r="B4" s="37" t="n">
        <v>5.17</v>
      </c>
      <c r="C4" s="37" t="n">
        <v>0.11</v>
      </c>
      <c r="D4" s="37" t="n">
        <v>7.36</v>
      </c>
      <c r="E4" s="37" t="n">
        <v>1.26</v>
      </c>
      <c r="F4" s="37" t="n">
        <v>6.14</v>
      </c>
      <c r="G4" s="37" t="n">
        <v>0.45</v>
      </c>
      <c r="H4" s="37" t="n">
        <v>5.45</v>
      </c>
      <c r="I4" s="37" t="n">
        <v>0.71</v>
      </c>
      <c r="J4" s="37" t="n">
        <v>6.03</v>
      </c>
    </row>
    <row r="5">
      <c r="A5" s="36" t="inlineStr">
        <is>
          <t>Pseudomonadota</t>
        </is>
      </c>
      <c r="B5" s="37" t="n">
        <v>13.75</v>
      </c>
      <c r="C5" s="37" t="n">
        <v>1.94</v>
      </c>
      <c r="D5" s="37" t="n">
        <v>11.38</v>
      </c>
      <c r="E5" s="37" t="n">
        <v>1.23</v>
      </c>
      <c r="F5" s="37" t="n">
        <v>12.98</v>
      </c>
      <c r="G5" s="37" t="n">
        <v>2.11</v>
      </c>
      <c r="H5" s="37" t="n">
        <v>9.94</v>
      </c>
      <c r="I5" s="37" t="n">
        <v>2.2</v>
      </c>
      <c r="J5" s="37" t="n">
        <v>12.01</v>
      </c>
    </row>
    <row r="6">
      <c r="A6" s="36" t="inlineStr">
        <is>
          <t>Methanobacteriota</t>
        </is>
      </c>
      <c r="B6" s="37" t="n">
        <v>5.23</v>
      </c>
      <c r="C6" s="37" t="n">
        <v>1.62</v>
      </c>
      <c r="D6" s="37" t="n">
        <v>3.82</v>
      </c>
      <c r="E6" s="37" t="n">
        <v>3.86</v>
      </c>
      <c r="F6" s="37" t="n">
        <v>4.6</v>
      </c>
      <c r="G6" s="37" t="n">
        <v>2.04</v>
      </c>
      <c r="H6" s="37" t="n">
        <v>4.71</v>
      </c>
      <c r="I6" s="37" t="n">
        <v>1.83</v>
      </c>
      <c r="J6" s="37" t="n">
        <v>4.59</v>
      </c>
    </row>
    <row r="7">
      <c r="A7" s="36" t="inlineStr">
        <is>
          <t>Thermoproteota</t>
        </is>
      </c>
      <c r="B7" s="37" t="n">
        <v>0.99</v>
      </c>
      <c r="C7" s="37" t="n">
        <v>0.21</v>
      </c>
      <c r="D7" s="37" t="n">
        <v>0.6</v>
      </c>
      <c r="E7" s="37" t="n">
        <v>0.78</v>
      </c>
      <c r="F7" s="37" t="n">
        <v>0.68</v>
      </c>
      <c r="G7" s="37" t="n">
        <v>0.38</v>
      </c>
      <c r="H7" s="37" t="n">
        <v>1.51</v>
      </c>
      <c r="I7" s="37" t="n">
        <v>0.9</v>
      </c>
      <c r="J7" s="37" t="n">
        <v>0.95</v>
      </c>
    </row>
    <row r="8">
      <c r="A8" s="36" t="inlineStr">
        <is>
          <t>Ascomycota</t>
        </is>
      </c>
      <c r="B8" s="37" t="n">
        <v>6.45</v>
      </c>
      <c r="C8" s="37" t="n">
        <v>0.78</v>
      </c>
      <c r="D8" s="37" t="n">
        <v>8.58</v>
      </c>
      <c r="E8" s="37" t="n">
        <v>2.66</v>
      </c>
      <c r="F8" s="37" t="n">
        <v>8.1</v>
      </c>
      <c r="G8" s="37" t="n">
        <v>3</v>
      </c>
      <c r="H8" s="37" t="n">
        <v>7.66</v>
      </c>
      <c r="I8" s="37" t="n">
        <v>0.87</v>
      </c>
      <c r="J8" s="37" t="n">
        <v>7.7</v>
      </c>
    </row>
    <row r="9">
      <c r="A9" s="36" t="inlineStr">
        <is>
          <t>Basidiomycota</t>
        </is>
      </c>
      <c r="B9" s="37" t="n">
        <v>14.65</v>
      </c>
      <c r="C9" s="37" t="n">
        <v>3.35</v>
      </c>
      <c r="D9" s="37" t="n">
        <v>10.78</v>
      </c>
      <c r="E9" s="37" t="n">
        <v>2.04</v>
      </c>
      <c r="F9" s="37" t="n">
        <v>13.36</v>
      </c>
      <c r="G9" s="37" t="n">
        <v>1.74</v>
      </c>
      <c r="H9" s="37" t="n">
        <v>13.83</v>
      </c>
      <c r="I9" s="37" t="n">
        <v>0.84</v>
      </c>
      <c r="J9" s="37" t="n">
        <v>13.15</v>
      </c>
    </row>
    <row r="10">
      <c r="A10" s="36" t="inlineStr">
        <is>
          <t>Mucoromycota</t>
        </is>
      </c>
      <c r="B10" s="37" t="n">
        <v>7.84</v>
      </c>
      <c r="C10" s="37" t="n">
        <v>1.61</v>
      </c>
      <c r="D10" s="37" t="n">
        <v>6.22</v>
      </c>
      <c r="E10" s="37" t="n">
        <v>0.28</v>
      </c>
      <c r="F10" s="37" t="n">
        <v>6.63</v>
      </c>
      <c r="G10" s="37" t="n">
        <v>0.67</v>
      </c>
      <c r="H10" s="37" t="n">
        <v>7.21</v>
      </c>
      <c r="I10" s="37" t="n">
        <v>0.46</v>
      </c>
      <c r="J10" s="37" t="n">
        <v>6.98</v>
      </c>
    </row>
    <row r="11">
      <c r="A11" s="36" t="inlineStr">
        <is>
          <t>Chlorophyta</t>
        </is>
      </c>
      <c r="B11" s="37" t="n">
        <v>0.99</v>
      </c>
      <c r="C11" s="37" t="n">
        <v>0.08</v>
      </c>
      <c r="D11" s="37" t="n">
        <v>1.15</v>
      </c>
      <c r="E11" s="37" t="n">
        <v>0.2</v>
      </c>
      <c r="F11" s="37" t="n">
        <v>1.1</v>
      </c>
      <c r="G11" s="37" t="n">
        <v>0.11</v>
      </c>
      <c r="H11" s="37" t="n">
        <v>0.95</v>
      </c>
      <c r="I11" s="37" t="n">
        <v>0.08</v>
      </c>
      <c r="J11" s="37" t="n">
        <v>1.05</v>
      </c>
    </row>
    <row r="12">
      <c r="A12" s="36" t="inlineStr">
        <is>
          <t>Streptophyta</t>
        </is>
      </c>
      <c r="B12" s="37" t="n">
        <v>8.27</v>
      </c>
      <c r="C12" s="37" t="n">
        <v>1.76</v>
      </c>
      <c r="D12" s="37" t="n">
        <v>9.039999999999999</v>
      </c>
      <c r="E12" s="37" t="n">
        <v>1.13</v>
      </c>
      <c r="F12" s="37" t="n">
        <v>8.210000000000001</v>
      </c>
      <c r="G12" s="37" t="n">
        <v>2.09</v>
      </c>
      <c r="H12" s="37" t="n">
        <v>8.68</v>
      </c>
      <c r="I12" s="37" t="n">
        <v>1.46</v>
      </c>
      <c r="J12" s="37" t="n">
        <v>8.550000000000001</v>
      </c>
    </row>
    <row r="13">
      <c r="A13" s="36" t="inlineStr">
        <is>
          <t>Arthropoda</t>
        </is>
      </c>
      <c r="B13" s="37" t="n">
        <v>4.13</v>
      </c>
      <c r="C13" s="37" t="n">
        <v>0.18</v>
      </c>
      <c r="D13" s="37" t="n">
        <v>5.41</v>
      </c>
      <c r="E13" s="37" t="n">
        <v>1.18</v>
      </c>
      <c r="F13" s="37" t="n">
        <v>4.89</v>
      </c>
      <c r="G13" s="37" t="n">
        <v>0.1</v>
      </c>
      <c r="H13" s="37" t="n">
        <v>5.59</v>
      </c>
      <c r="I13" s="37" t="n">
        <v>1.03</v>
      </c>
      <c r="J13" s="37" t="n">
        <v>5.01</v>
      </c>
    </row>
    <row r="14">
      <c r="A14" s="36" t="inlineStr">
        <is>
          <t>Mollusca</t>
        </is>
      </c>
      <c r="B14" s="37" t="n">
        <v>9.35</v>
      </c>
      <c r="C14" s="37" t="n">
        <v>0.34</v>
      </c>
      <c r="D14" s="37" t="n">
        <v>10.39</v>
      </c>
      <c r="E14" s="37" t="n">
        <v>1.6</v>
      </c>
      <c r="F14" s="37" t="n">
        <v>9.57</v>
      </c>
      <c r="G14" s="37" t="n">
        <v>1.4</v>
      </c>
      <c r="H14" s="37" t="n">
        <v>7.2</v>
      </c>
      <c r="I14" s="37" t="n">
        <v>0.26</v>
      </c>
      <c r="J14" s="37" t="n">
        <v>9.130000000000001</v>
      </c>
    </row>
    <row r="15">
      <c r="A15" s="36" t="inlineStr">
        <is>
          <t>Nematoda</t>
        </is>
      </c>
      <c r="B15" s="37" t="n">
        <v>0.41</v>
      </c>
      <c r="C15" s="37" t="n">
        <v>0.07000000000000001</v>
      </c>
      <c r="D15" s="37" t="n">
        <v>0.82</v>
      </c>
      <c r="E15" s="37" t="n">
        <v>0.38</v>
      </c>
      <c r="F15" s="37" t="n">
        <v>0.48</v>
      </c>
      <c r="G15" s="37" t="n">
        <v>0.12</v>
      </c>
      <c r="H15" s="37" t="n">
        <v>0.61</v>
      </c>
      <c r="I15" s="37" t="n">
        <v>0.05</v>
      </c>
      <c r="J15" s="37" t="n">
        <v>0.58</v>
      </c>
    </row>
    <row r="16">
      <c r="A16" s="36" t="inlineStr">
        <is>
          <t>Discosea</t>
        </is>
      </c>
      <c r="B16" s="37" t="n">
        <v>1.07</v>
      </c>
      <c r="C16" s="37" t="n">
        <v>0.16</v>
      </c>
      <c r="D16" s="37" t="n">
        <v>0.97</v>
      </c>
      <c r="E16" s="37" t="n">
        <v>0.27</v>
      </c>
      <c r="F16" s="37" t="n">
        <v>1.25</v>
      </c>
      <c r="G16" s="37" t="n">
        <v>0.11</v>
      </c>
      <c r="H16" s="37" t="n">
        <v>0.96</v>
      </c>
      <c r="I16" s="37" t="n">
        <v>0.16</v>
      </c>
      <c r="J16" s="37" t="n">
        <v>1.06</v>
      </c>
    </row>
    <row r="17">
      <c r="A17" s="36" t="inlineStr">
        <is>
          <t>Evosea</t>
        </is>
      </c>
      <c r="B17" s="37" t="n">
        <v>1.28</v>
      </c>
      <c r="C17" s="37" t="n">
        <v>0.04</v>
      </c>
      <c r="D17" s="37" t="n">
        <v>1.4</v>
      </c>
      <c r="E17" s="37" t="n">
        <v>0.44</v>
      </c>
      <c r="F17" s="37" t="n">
        <v>1.34</v>
      </c>
      <c r="G17" s="37" t="n">
        <v>0.2</v>
      </c>
      <c r="H17" s="37" t="n">
        <v>1.07</v>
      </c>
      <c r="I17" s="37" t="n">
        <v>0.08</v>
      </c>
      <c r="J17" s="37" t="n">
        <v>1.27</v>
      </c>
    </row>
    <row r="18">
      <c r="A18" s="36" t="inlineStr">
        <is>
          <t>Heterolobosea</t>
        </is>
      </c>
      <c r="B18" s="37" t="n">
        <v>1.59</v>
      </c>
      <c r="C18" s="37" t="n">
        <v>0.08</v>
      </c>
      <c r="D18" s="37" t="n">
        <v>2.17</v>
      </c>
      <c r="E18" s="37" t="n">
        <v>0.31</v>
      </c>
      <c r="F18" s="37" t="n">
        <v>1.58</v>
      </c>
      <c r="G18" s="37" t="n">
        <v>0.08</v>
      </c>
      <c r="H18" s="37" t="n">
        <v>1.75</v>
      </c>
      <c r="I18" s="37" t="n">
        <v>0.07000000000000001</v>
      </c>
      <c r="J18" s="37" t="n">
        <v>1.77</v>
      </c>
    </row>
  </sheetData>
  <mergeCells count="1">
    <mergeCell ref="A1:J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outlineLevelCol="0"/>
  <cols>
    <col width="10" customWidth="1" min="1" max="1"/>
    <col width="16" customWidth="1" min="2" max="2"/>
    <col width="14" customWidth="1" min="3" max="3"/>
    <col width="13" customWidth="1" min="4" max="4"/>
    <col width="15" customWidth="1" min="5" max="5"/>
    <col width="10" customWidth="1" min="6" max="6"/>
    <col width="15" customWidth="1" min="7" max="7"/>
    <col width="13" customWidth="1" min="8" max="8"/>
    <col width="10" customWidth="1" min="9" max="9"/>
  </cols>
  <sheetData>
    <row r="1">
      <c r="A1" s="34" t="inlineStr">
        <is>
          <t>Supplementary Table S8c. Treatment effects - CLR fingerprint-set permutation tests</t>
        </is>
      </c>
    </row>
    <row r="2">
      <c r="A2" s="33" t="inlineStr">
        <is>
          <t>Per-phylum fingerprint-set effects for the drought and climate contrasts (400 stratified CLR relabelings). log2FC = set-mean log2 fold change; p_perm two-sided; p_one_sided in the observed direction; q = Benjamini-Hochberg within factor.</t>
        </is>
      </c>
    </row>
    <row r="3">
      <c r="A3" s="12" t="inlineStr">
        <is>
          <t>Factor</t>
        </is>
      </c>
      <c r="B3" s="12" t="inlineStr">
        <is>
          <t>Phylum</t>
        </is>
      </c>
      <c r="C3" s="12" t="inlineStr">
        <is>
          <t>Kingdom</t>
        </is>
      </c>
      <c r="D3" s="12" t="inlineStr">
        <is>
          <t>n set features</t>
        </is>
      </c>
      <c r="E3" s="12" t="inlineStr">
        <is>
          <t>set-mean log2FC</t>
        </is>
      </c>
      <c r="F3" s="12" t="inlineStr">
        <is>
          <t>direction</t>
        </is>
      </c>
      <c r="G3" s="12" t="inlineStr">
        <is>
          <t>p_perm (2-sided)</t>
        </is>
      </c>
      <c r="H3" s="12" t="inlineStr">
        <is>
          <t>p one-sided</t>
        </is>
      </c>
      <c r="I3" s="12" t="inlineStr">
        <is>
          <t>q (BH)</t>
        </is>
      </c>
    </row>
    <row r="4">
      <c r="A4" s="8" t="inlineStr">
        <is>
          <t>climate</t>
        </is>
      </c>
      <c r="B4" s="8" t="inlineStr">
        <is>
          <t>Actinomycetota</t>
        </is>
      </c>
      <c r="C4" s="8" t="inlineStr">
        <is>
          <t>Bacteria</t>
        </is>
      </c>
      <c r="D4" s="8" t="n">
        <v>45</v>
      </c>
      <c r="E4" s="38" t="n">
        <v>-0.277</v>
      </c>
      <c r="F4" s="8" t="inlineStr">
        <is>
          <t>down</t>
        </is>
      </c>
      <c r="G4" s="39" t="n">
        <v>0.365</v>
      </c>
      <c r="H4" s="39" t="n">
        <v>0.1825</v>
      </c>
      <c r="I4" s="39" t="n">
        <v>0.9257</v>
      </c>
    </row>
    <row r="5">
      <c r="A5" s="8" t="inlineStr">
        <is>
          <t>climate</t>
        </is>
      </c>
      <c r="B5" s="8" t="inlineStr">
        <is>
          <t>Arthropoda</t>
        </is>
      </c>
      <c r="C5" s="8" t="inlineStr">
        <is>
          <t>Animalia</t>
        </is>
      </c>
      <c r="D5" s="8" t="n">
        <v>90</v>
      </c>
      <c r="E5" s="38" t="n">
        <v>-0.017</v>
      </c>
      <c r="F5" s="8" t="inlineStr">
        <is>
          <t>down</t>
        </is>
      </c>
      <c r="G5" s="39" t="n">
        <v>0.805</v>
      </c>
      <c r="H5" s="39" t="n">
        <v>0.4025</v>
      </c>
      <c r="I5" s="39" t="n">
        <v>0.9257</v>
      </c>
    </row>
    <row r="6">
      <c r="A6" s="8" t="inlineStr">
        <is>
          <t>climate</t>
        </is>
      </c>
      <c r="B6" s="8" t="inlineStr">
        <is>
          <t>Ascomycota</t>
        </is>
      </c>
      <c r="C6" s="8" t="inlineStr">
        <is>
          <t>Fungi</t>
        </is>
      </c>
      <c r="D6" s="8" t="n">
        <v>64</v>
      </c>
      <c r="E6" s="38" t="n">
        <v>0.155</v>
      </c>
      <c r="F6" s="8" t="inlineStr">
        <is>
          <t>up</t>
        </is>
      </c>
      <c r="G6" s="39" t="n">
        <v>0.305</v>
      </c>
      <c r="H6" s="39" t="n">
        <v>0.1525</v>
      </c>
      <c r="I6" s="39" t="n">
        <v>0.9257</v>
      </c>
    </row>
    <row r="7">
      <c r="A7" s="8" t="inlineStr">
        <is>
          <t>climate</t>
        </is>
      </c>
      <c r="B7" s="8" t="inlineStr">
        <is>
          <t>Bacillota</t>
        </is>
      </c>
      <c r="C7" s="8" t="inlineStr">
        <is>
          <t>Bacteria</t>
        </is>
      </c>
      <c r="D7" s="8" t="n">
        <v>29</v>
      </c>
      <c r="E7" s="38" t="n">
        <v>-0.07199999999999999</v>
      </c>
      <c r="F7" s="8" t="inlineStr">
        <is>
          <t>down</t>
        </is>
      </c>
      <c r="G7" s="39" t="n">
        <v>0.485</v>
      </c>
      <c r="H7" s="39" t="n">
        <v>0.2425</v>
      </c>
      <c r="I7" s="39" t="n">
        <v>0.9257</v>
      </c>
    </row>
    <row r="8">
      <c r="A8" s="8" t="inlineStr">
        <is>
          <t>climate</t>
        </is>
      </c>
      <c r="B8" s="8" t="inlineStr">
        <is>
          <t>Basidiomycota</t>
        </is>
      </c>
      <c r="C8" s="8" t="inlineStr">
        <is>
          <t>Fungi</t>
        </is>
      </c>
      <c r="D8" s="8" t="n">
        <v>126</v>
      </c>
      <c r="E8" s="38" t="n">
        <v>0.066</v>
      </c>
      <c r="F8" s="8" t="inlineStr">
        <is>
          <t>up</t>
        </is>
      </c>
      <c r="G8" s="39" t="n">
        <v>0.605</v>
      </c>
      <c r="H8" s="39" t="n">
        <v>0.3025</v>
      </c>
      <c r="I8" s="39" t="n">
        <v>0.9257</v>
      </c>
    </row>
    <row r="9">
      <c r="A9" s="8" t="inlineStr">
        <is>
          <t>climate</t>
        </is>
      </c>
      <c r="B9" s="8" t="inlineStr">
        <is>
          <t>Chlorophyta</t>
        </is>
      </c>
      <c r="C9" s="8" t="inlineStr">
        <is>
          <t>Viridiplantae</t>
        </is>
      </c>
      <c r="D9" s="8" t="n">
        <v>115</v>
      </c>
      <c r="E9" s="38" t="n">
        <v>-0.08400000000000001</v>
      </c>
      <c r="F9" s="8" t="inlineStr">
        <is>
          <t>down</t>
        </is>
      </c>
      <c r="G9" s="39" t="n">
        <v>0.475</v>
      </c>
      <c r="H9" s="39" t="n">
        <v>0.2375</v>
      </c>
      <c r="I9" s="39" t="n">
        <v>0.9257</v>
      </c>
    </row>
    <row r="10">
      <c r="A10" s="8" t="inlineStr">
        <is>
          <t>climate</t>
        </is>
      </c>
      <c r="B10" s="8" t="inlineStr">
        <is>
          <t>Discosea</t>
        </is>
      </c>
      <c r="C10" s="8" t="inlineStr">
        <is>
          <t>Protists</t>
        </is>
      </c>
      <c r="D10" s="8" t="n">
        <v>52</v>
      </c>
      <c r="E10" s="38" t="n">
        <v>0.035</v>
      </c>
      <c r="F10" s="8" t="inlineStr">
        <is>
          <t>up</t>
        </is>
      </c>
      <c r="G10" s="39" t="n">
        <v>0.9</v>
      </c>
      <c r="H10" s="39" t="n">
        <v>0.5525</v>
      </c>
      <c r="I10" s="39" t="n">
        <v>0.9350000000000001</v>
      </c>
    </row>
    <row r="11">
      <c r="A11" s="8" t="inlineStr">
        <is>
          <t>climate</t>
        </is>
      </c>
      <c r="B11" s="8" t="inlineStr">
        <is>
          <t>Evosea</t>
        </is>
      </c>
      <c r="C11" s="8" t="inlineStr">
        <is>
          <t>Protists</t>
        </is>
      </c>
      <c r="D11" s="8" t="n">
        <v>54</v>
      </c>
      <c r="E11" s="38" t="n">
        <v>-0.008999999999999999</v>
      </c>
      <c r="F11" s="8" t="inlineStr">
        <is>
          <t>down</t>
        </is>
      </c>
      <c r="G11" s="39" t="n">
        <v>0.695</v>
      </c>
      <c r="H11" s="39" t="n">
        <v>0.3475</v>
      </c>
      <c r="I11" s="39" t="n">
        <v>0.9257</v>
      </c>
    </row>
    <row r="12">
      <c r="A12" s="8" t="inlineStr">
        <is>
          <t>climate</t>
        </is>
      </c>
      <c r="B12" s="8" t="inlineStr">
        <is>
          <t>Heterolobosea</t>
        </is>
      </c>
      <c r="C12" s="8" t="inlineStr">
        <is>
          <t>Protists</t>
        </is>
      </c>
      <c r="D12" s="8" t="n">
        <v>86</v>
      </c>
      <c r="E12" s="38" t="n">
        <v>-0.144</v>
      </c>
      <c r="F12" s="8" t="inlineStr">
        <is>
          <t>down</t>
        </is>
      </c>
      <c r="G12" s="39" t="n">
        <v>0.55</v>
      </c>
      <c r="H12" s="39" t="n">
        <v>0.275</v>
      </c>
      <c r="I12" s="39" t="n">
        <v>0.9257</v>
      </c>
    </row>
    <row r="13">
      <c r="A13" s="8" t="inlineStr">
        <is>
          <t>climate</t>
        </is>
      </c>
      <c r="B13" s="8" t="inlineStr">
        <is>
          <t>Methanobacteriota</t>
        </is>
      </c>
      <c r="C13" s="8" t="inlineStr">
        <is>
          <t>Archaea</t>
        </is>
      </c>
      <c r="D13" s="8" t="n">
        <v>22</v>
      </c>
      <c r="E13" s="38" t="n">
        <v>0.049</v>
      </c>
      <c r="F13" s="8" t="inlineStr">
        <is>
          <t>up</t>
        </is>
      </c>
      <c r="G13" s="39" t="n">
        <v>0.9350000000000001</v>
      </c>
      <c r="H13" s="39" t="n">
        <v>0.4675</v>
      </c>
      <c r="I13" s="39" t="n">
        <v>0.9350000000000001</v>
      </c>
    </row>
    <row r="14">
      <c r="A14" s="8" t="inlineStr">
        <is>
          <t>climate</t>
        </is>
      </c>
      <c r="B14" s="8" t="inlineStr">
        <is>
          <t>Mollusca</t>
        </is>
      </c>
      <c r="C14" s="8" t="inlineStr">
        <is>
          <t>Animalia</t>
        </is>
      </c>
      <c r="D14" s="8" t="n">
        <v>46</v>
      </c>
      <c r="E14" s="38" t="n">
        <v>-0.08</v>
      </c>
      <c r="F14" s="8" t="inlineStr">
        <is>
          <t>down</t>
        </is>
      </c>
      <c r="G14" s="39" t="n">
        <v>0.8100000000000001</v>
      </c>
      <c r="H14" s="39" t="n">
        <v>0.405</v>
      </c>
      <c r="I14" s="39" t="n">
        <v>0.9257</v>
      </c>
    </row>
    <row r="15">
      <c r="A15" s="8" t="inlineStr">
        <is>
          <t>climate</t>
        </is>
      </c>
      <c r="B15" s="8" t="inlineStr">
        <is>
          <t>Mucoromycota</t>
        </is>
      </c>
      <c r="C15" s="8" t="inlineStr">
        <is>
          <t>Fungi</t>
        </is>
      </c>
      <c r="D15" s="8" t="n">
        <v>59</v>
      </c>
      <c r="E15" s="38" t="n">
        <v>0.046</v>
      </c>
      <c r="F15" s="8" t="inlineStr">
        <is>
          <t>up</t>
        </is>
      </c>
      <c r="G15" s="39" t="n">
        <v>0.575</v>
      </c>
      <c r="H15" s="39" t="n">
        <v>0.2875</v>
      </c>
      <c r="I15" s="39" t="n">
        <v>0.9257</v>
      </c>
    </row>
    <row r="16">
      <c r="A16" s="8" t="inlineStr">
        <is>
          <t>climate</t>
        </is>
      </c>
      <c r="B16" s="8" t="inlineStr">
        <is>
          <t>Nematoda</t>
        </is>
      </c>
      <c r="C16" s="8" t="inlineStr">
        <is>
          <t>Animalia</t>
        </is>
      </c>
      <c r="D16" s="8" t="n">
        <v>45</v>
      </c>
      <c r="E16" s="38" t="n">
        <v>-0.164</v>
      </c>
      <c r="F16" s="8" t="inlineStr">
        <is>
          <t>down</t>
        </is>
      </c>
      <c r="G16" s="39" t="n">
        <v>0.335</v>
      </c>
      <c r="H16" s="39" t="n">
        <v>0.1675</v>
      </c>
      <c r="I16" s="39" t="n">
        <v>0.9257</v>
      </c>
    </row>
    <row r="17">
      <c r="A17" s="8" t="inlineStr">
        <is>
          <t>climate</t>
        </is>
      </c>
      <c r="B17" s="8" t="inlineStr">
        <is>
          <t>Pseudomonadota</t>
        </is>
      </c>
      <c r="C17" s="8" t="inlineStr">
        <is>
          <t>Bacteria</t>
        </is>
      </c>
      <c r="D17" s="8" t="n">
        <v>36</v>
      </c>
      <c r="E17" s="38" t="n">
        <v>-0.091</v>
      </c>
      <c r="F17" s="8" t="inlineStr">
        <is>
          <t>down</t>
        </is>
      </c>
      <c r="G17" s="39" t="n">
        <v>0.555</v>
      </c>
      <c r="H17" s="39" t="n">
        <v>0.2775</v>
      </c>
      <c r="I17" s="39" t="n">
        <v>0.9257</v>
      </c>
    </row>
    <row r="18">
      <c r="A18" s="8" t="inlineStr">
        <is>
          <t>climate</t>
        </is>
      </c>
      <c r="B18" s="8" t="inlineStr">
        <is>
          <t>Streptophyta</t>
        </is>
      </c>
      <c r="C18" s="8" t="inlineStr">
        <is>
          <t>Viridiplantae</t>
        </is>
      </c>
      <c r="D18" s="8" t="n">
        <v>136</v>
      </c>
      <c r="E18" s="38" t="n">
        <v>0.042</v>
      </c>
      <c r="F18" s="8" t="inlineStr">
        <is>
          <t>up</t>
        </is>
      </c>
      <c r="G18" s="39" t="n">
        <v>0.76</v>
      </c>
      <c r="H18" s="39" t="n">
        <v>0.38</v>
      </c>
      <c r="I18" s="39" t="n">
        <v>0.9257</v>
      </c>
    </row>
    <row r="19">
      <c r="A19" s="8" t="inlineStr">
        <is>
          <t>climate</t>
        </is>
      </c>
      <c r="B19" s="8" t="inlineStr">
        <is>
          <t>Thermoproteota</t>
        </is>
      </c>
      <c r="C19" s="8" t="inlineStr">
        <is>
          <t>Archaea</t>
        </is>
      </c>
      <c r="D19" s="8" t="n">
        <v>27</v>
      </c>
      <c r="E19" s="38" t="n">
        <v>0.236</v>
      </c>
      <c r="F19" s="8" t="inlineStr">
        <is>
          <t>up</t>
        </is>
      </c>
      <c r="G19" s="39" t="n">
        <v>0.585</v>
      </c>
      <c r="H19" s="39" t="n">
        <v>0.2925</v>
      </c>
      <c r="I19" s="39" t="n">
        <v>0.9257</v>
      </c>
    </row>
    <row r="20">
      <c r="A20" s="8" t="inlineStr">
        <is>
          <t>drought</t>
        </is>
      </c>
      <c r="B20" s="8" t="inlineStr">
        <is>
          <t>Actinomycetota</t>
        </is>
      </c>
      <c r="C20" s="8" t="inlineStr">
        <is>
          <t>Bacteria</t>
        </is>
      </c>
      <c r="D20" s="8" t="n">
        <v>45</v>
      </c>
      <c r="E20" s="38" t="n">
        <v>0.383</v>
      </c>
      <c r="F20" s="8" t="inlineStr">
        <is>
          <t>up</t>
        </is>
      </c>
      <c r="G20" s="39" t="n">
        <v>0.405</v>
      </c>
      <c r="H20" s="39" t="n">
        <v>0.2025</v>
      </c>
      <c r="I20" s="39" t="n">
        <v>0.97</v>
      </c>
    </row>
    <row r="21">
      <c r="A21" s="8" t="inlineStr">
        <is>
          <t>drought</t>
        </is>
      </c>
      <c r="B21" s="8" t="inlineStr">
        <is>
          <t>Arthropoda</t>
        </is>
      </c>
      <c r="C21" s="8" t="inlineStr">
        <is>
          <t>Animalia</t>
        </is>
      </c>
      <c r="D21" s="8" t="n">
        <v>90</v>
      </c>
      <c r="E21" s="38" t="n">
        <v>-0.036</v>
      </c>
      <c r="F21" s="8" t="inlineStr">
        <is>
          <t>down</t>
        </is>
      </c>
      <c r="G21" s="39" t="n">
        <v>0.77</v>
      </c>
      <c r="H21" s="39" t="n">
        <v>0.385</v>
      </c>
      <c r="I21" s="39" t="n">
        <v>0.97</v>
      </c>
    </row>
    <row r="22">
      <c r="A22" s="8" t="inlineStr">
        <is>
          <t>drought</t>
        </is>
      </c>
      <c r="B22" s="8" t="inlineStr">
        <is>
          <t>Ascomycota</t>
        </is>
      </c>
      <c r="C22" s="8" t="inlineStr">
        <is>
          <t>Fungi</t>
        </is>
      </c>
      <c r="D22" s="8" t="n">
        <v>64</v>
      </c>
      <c r="E22" s="38" t="n">
        <v>-0.196</v>
      </c>
      <c r="F22" s="8" t="inlineStr">
        <is>
          <t>down</t>
        </is>
      </c>
      <c r="G22" s="39" t="n">
        <v>0.46</v>
      </c>
      <c r="H22" s="39" t="n">
        <v>0.23</v>
      </c>
      <c r="I22" s="39" t="n">
        <v>0.97</v>
      </c>
    </row>
    <row r="23">
      <c r="A23" s="8" t="inlineStr">
        <is>
          <t>drought</t>
        </is>
      </c>
      <c r="B23" s="8" t="inlineStr">
        <is>
          <t>Bacillota</t>
        </is>
      </c>
      <c r="C23" s="8" t="inlineStr">
        <is>
          <t>Bacteria</t>
        </is>
      </c>
      <c r="D23" s="8" t="n">
        <v>29</v>
      </c>
      <c r="E23" s="38" t="n">
        <v>0.245</v>
      </c>
      <c r="F23" s="8" t="inlineStr">
        <is>
          <t>up</t>
        </is>
      </c>
      <c r="G23" s="39" t="n">
        <v>0.97</v>
      </c>
      <c r="H23" s="39" t="n">
        <v>0.5175</v>
      </c>
      <c r="I23" s="39" t="n">
        <v>0.97</v>
      </c>
    </row>
    <row r="24">
      <c r="A24" s="8" t="inlineStr">
        <is>
          <t>drought</t>
        </is>
      </c>
      <c r="B24" s="8" t="inlineStr">
        <is>
          <t>Basidiomycota</t>
        </is>
      </c>
      <c r="C24" s="8" t="inlineStr">
        <is>
          <t>Fungi</t>
        </is>
      </c>
      <c r="D24" s="8" t="n">
        <v>126</v>
      </c>
      <c r="E24" s="38" t="n">
        <v>-0.08599999999999999</v>
      </c>
      <c r="F24" s="8" t="inlineStr">
        <is>
          <t>down</t>
        </is>
      </c>
      <c r="G24" s="39" t="n">
        <v>0.77</v>
      </c>
      <c r="H24" s="39" t="n">
        <v>0.385</v>
      </c>
      <c r="I24" s="39" t="n">
        <v>0.97</v>
      </c>
    </row>
    <row r="25">
      <c r="A25" s="8" t="inlineStr">
        <is>
          <t>drought</t>
        </is>
      </c>
      <c r="B25" s="8" t="inlineStr">
        <is>
          <t>Chlorophyta</t>
        </is>
      </c>
      <c r="C25" s="8" t="inlineStr">
        <is>
          <t>Viridiplantae</t>
        </is>
      </c>
      <c r="D25" s="8" t="n">
        <v>115</v>
      </c>
      <c r="E25" s="38" t="n">
        <v>0.113</v>
      </c>
      <c r="F25" s="8" t="inlineStr">
        <is>
          <t>up</t>
        </is>
      </c>
      <c r="G25" s="39" t="n">
        <v>0.51</v>
      </c>
      <c r="H25" s="39" t="n">
        <v>0.255</v>
      </c>
      <c r="I25" s="39" t="n">
        <v>0.97</v>
      </c>
    </row>
    <row r="26">
      <c r="A26" s="8" t="inlineStr">
        <is>
          <t>drought</t>
        </is>
      </c>
      <c r="B26" s="8" t="inlineStr">
        <is>
          <t>Discosea</t>
        </is>
      </c>
      <c r="C26" s="8" t="inlineStr">
        <is>
          <t>Protists</t>
        </is>
      </c>
      <c r="D26" s="8" t="n">
        <v>52</v>
      </c>
      <c r="E26" s="38" t="n">
        <v>-0.353</v>
      </c>
      <c r="F26" s="8" t="inlineStr">
        <is>
          <t>down</t>
        </is>
      </c>
      <c r="G26" s="39" t="n">
        <v>0.125</v>
      </c>
      <c r="H26" s="39" t="n">
        <v>0.0625</v>
      </c>
      <c r="I26" s="39" t="n">
        <v>0.6667</v>
      </c>
    </row>
    <row r="27">
      <c r="A27" s="8" t="inlineStr">
        <is>
          <t>drought</t>
        </is>
      </c>
      <c r="B27" s="8" t="inlineStr">
        <is>
          <t>Evosea</t>
        </is>
      </c>
      <c r="C27" s="8" t="inlineStr">
        <is>
          <t>Protists</t>
        </is>
      </c>
      <c r="D27" s="8" t="n">
        <v>54</v>
      </c>
      <c r="E27" s="38" t="n">
        <v>-0.409</v>
      </c>
      <c r="F27" s="8" t="inlineStr">
        <is>
          <t>down</t>
        </is>
      </c>
      <c r="G27" s="39" t="n">
        <v>0.05</v>
      </c>
      <c r="H27" s="39" t="n">
        <v>0.025</v>
      </c>
      <c r="I27" s="39" t="n">
        <v>0.4</v>
      </c>
    </row>
    <row r="28">
      <c r="A28" s="8" t="inlineStr">
        <is>
          <t>drought</t>
        </is>
      </c>
      <c r="B28" s="8" t="inlineStr">
        <is>
          <t>Heterolobosea</t>
        </is>
      </c>
      <c r="C28" s="8" t="inlineStr">
        <is>
          <t>Protists</t>
        </is>
      </c>
      <c r="D28" s="8" t="n">
        <v>86</v>
      </c>
      <c r="E28" s="38" t="n">
        <v>-0.058</v>
      </c>
      <c r="F28" s="8" t="inlineStr">
        <is>
          <t>down</t>
        </is>
      </c>
      <c r="G28" s="39" t="n">
        <v>0.34</v>
      </c>
      <c r="H28" s="39" t="n">
        <v>0.17</v>
      </c>
      <c r="I28" s="39" t="n">
        <v>0.97</v>
      </c>
    </row>
    <row r="29">
      <c r="A29" s="8" t="inlineStr">
        <is>
          <t>drought</t>
        </is>
      </c>
      <c r="B29" s="8" t="inlineStr">
        <is>
          <t>Methanobacteriota</t>
        </is>
      </c>
      <c r="C29" s="8" t="inlineStr">
        <is>
          <t>Archaea</t>
        </is>
      </c>
      <c r="D29" s="8" t="n">
        <v>22</v>
      </c>
      <c r="E29" s="38" t="n">
        <v>0.12</v>
      </c>
      <c r="F29" s="8" t="inlineStr">
        <is>
          <t>up</t>
        </is>
      </c>
      <c r="G29" s="39" t="n">
        <v>0.795</v>
      </c>
      <c r="H29" s="39" t="n">
        <v>0.605</v>
      </c>
      <c r="I29" s="39" t="n">
        <v>0.97</v>
      </c>
    </row>
    <row r="30">
      <c r="A30" s="8" t="inlineStr">
        <is>
          <t>drought</t>
        </is>
      </c>
      <c r="B30" s="8" t="inlineStr">
        <is>
          <t>Mollusca</t>
        </is>
      </c>
      <c r="C30" s="8" t="inlineStr">
        <is>
          <t>Animalia</t>
        </is>
      </c>
      <c r="D30" s="8" t="n">
        <v>46</v>
      </c>
      <c r="E30" s="38" t="n">
        <v>-0.078</v>
      </c>
      <c r="F30" s="8" t="inlineStr">
        <is>
          <t>down</t>
        </is>
      </c>
      <c r="G30" s="39" t="n">
        <v>0.795</v>
      </c>
      <c r="H30" s="39" t="n">
        <v>0.3975</v>
      </c>
      <c r="I30" s="39" t="n">
        <v>0.97</v>
      </c>
    </row>
    <row r="31">
      <c r="A31" s="8" t="inlineStr">
        <is>
          <t>drought</t>
        </is>
      </c>
      <c r="B31" s="8" t="inlineStr">
        <is>
          <t>Mucoromycota</t>
        </is>
      </c>
      <c r="C31" s="8" t="inlineStr">
        <is>
          <t>Fungi</t>
        </is>
      </c>
      <c r="D31" s="8" t="n">
        <v>59</v>
      </c>
      <c r="E31" s="38" t="n">
        <v>0.045</v>
      </c>
      <c r="F31" s="8" t="inlineStr">
        <is>
          <t>up</t>
        </is>
      </c>
      <c r="G31" s="39" t="n">
        <v>0.895</v>
      </c>
      <c r="H31" s="39" t="n">
        <v>0.555</v>
      </c>
      <c r="I31" s="39" t="n">
        <v>0.97</v>
      </c>
    </row>
    <row r="32">
      <c r="A32" s="8" t="inlineStr">
        <is>
          <t>drought</t>
        </is>
      </c>
      <c r="B32" s="8" t="inlineStr">
        <is>
          <t>Nematoda</t>
        </is>
      </c>
      <c r="C32" s="8" t="inlineStr">
        <is>
          <t>Animalia</t>
        </is>
      </c>
      <c r="D32" s="8" t="n">
        <v>45</v>
      </c>
      <c r="E32" s="38" t="n">
        <v>0.042</v>
      </c>
      <c r="F32" s="8" t="inlineStr">
        <is>
          <t>up</t>
        </is>
      </c>
      <c r="G32" s="39" t="n">
        <v>0.915</v>
      </c>
      <c r="H32" s="39" t="n">
        <v>0.4575</v>
      </c>
      <c r="I32" s="39" t="n">
        <v>0.97</v>
      </c>
    </row>
    <row r="33">
      <c r="A33" s="8" t="inlineStr">
        <is>
          <t>drought</t>
        </is>
      </c>
      <c r="B33" s="8" t="inlineStr">
        <is>
          <t>Pseudomonadota</t>
        </is>
      </c>
      <c r="C33" s="8" t="inlineStr">
        <is>
          <t>Bacteria</t>
        </is>
      </c>
      <c r="D33" s="8" t="n">
        <v>36</v>
      </c>
      <c r="E33" s="38" t="n">
        <v>-0.595</v>
      </c>
      <c r="F33" s="8" t="inlineStr">
        <is>
          <t>down</t>
        </is>
      </c>
      <c r="G33" s="39" t="n">
        <v>0.005</v>
      </c>
      <c r="H33" s="39" t="n">
        <v>0.0025</v>
      </c>
      <c r="I33" s="39" t="n">
        <v>0.08</v>
      </c>
    </row>
    <row r="34">
      <c r="A34" s="8" t="inlineStr">
        <is>
          <t>drought</t>
        </is>
      </c>
      <c r="B34" s="8" t="inlineStr">
        <is>
          <t>Streptophyta</t>
        </is>
      </c>
      <c r="C34" s="8" t="inlineStr">
        <is>
          <t>Viridiplantae</t>
        </is>
      </c>
      <c r="D34" s="8" t="n">
        <v>136</v>
      </c>
      <c r="E34" s="38" t="n">
        <v>0.222</v>
      </c>
      <c r="F34" s="8" t="inlineStr">
        <is>
          <t>up</t>
        </is>
      </c>
      <c r="G34" s="39" t="n">
        <v>0.5</v>
      </c>
      <c r="H34" s="39" t="n">
        <v>0.25</v>
      </c>
      <c r="I34" s="39" t="n">
        <v>0.97</v>
      </c>
    </row>
    <row r="35">
      <c r="A35" s="8" t="inlineStr">
        <is>
          <t>drought</t>
        </is>
      </c>
      <c r="B35" s="8" t="inlineStr">
        <is>
          <t>Thermoproteota</t>
        </is>
      </c>
      <c r="C35" s="8" t="inlineStr">
        <is>
          <t>Archaea</t>
        </is>
      </c>
      <c r="D35" s="8" t="n">
        <v>27</v>
      </c>
      <c r="E35" s="38" t="n">
        <v>-0.065</v>
      </c>
      <c r="F35" s="8" t="inlineStr">
        <is>
          <t>down</t>
        </is>
      </c>
      <c r="G35" s="39" t="n">
        <v>0.87</v>
      </c>
      <c r="H35" s="39" t="n">
        <v>0.5675</v>
      </c>
      <c r="I35" s="39" t="n">
        <v>0.97</v>
      </c>
    </row>
    <row r="36"/>
    <row r="37">
      <c r="A37" s="36" t="inlineStr">
        <is>
          <t>qSIP replication family (pre-specified directional test, Metze et al. 2023)</t>
        </is>
      </c>
    </row>
    <row r="38">
      <c r="A38" s="12" t="inlineStr">
        <is>
          <t>Phylum</t>
        </is>
      </c>
      <c r="B38" s="12" t="inlineStr">
        <is>
          <t>predicted direction</t>
        </is>
      </c>
      <c r="C38" s="12" t="inlineStr">
        <is>
          <t>observed log2FC</t>
        </is>
      </c>
      <c r="D38" s="12" t="inlineStr">
        <is>
          <t>p one-sided</t>
        </is>
      </c>
      <c r="E38" s="12" t="inlineStr">
        <is>
          <t>q (BH, family=2)</t>
        </is>
      </c>
    </row>
    <row r="39">
      <c r="A39" s="8" t="inlineStr">
        <is>
          <t>Pseudomonadota</t>
        </is>
      </c>
      <c r="B39" s="8" t="inlineStr">
        <is>
          <t>decrease</t>
        </is>
      </c>
      <c r="C39" s="38" t="n">
        <v>-0.595</v>
      </c>
      <c r="D39" s="39" t="n">
        <v>0.0025</v>
      </c>
      <c r="E39" s="39" t="n">
        <v>0.005</v>
      </c>
    </row>
    <row r="40">
      <c r="A40" s="8" t="inlineStr">
        <is>
          <t>Actinomycetota</t>
        </is>
      </c>
      <c r="B40" s="8" t="inlineStr">
        <is>
          <t>increase</t>
        </is>
      </c>
      <c r="C40" s="38" t="n">
        <v>0.383</v>
      </c>
      <c r="D40" s="39" t="n">
        <v>0.2025</v>
      </c>
      <c r="E40" s="39" t="n">
        <v>0.2025</v>
      </c>
    </row>
  </sheetData>
  <mergeCells count="3">
    <mergeCell ref="A1:I1"/>
    <mergeCell ref="A37:I37"/>
    <mergeCell ref="A2:I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outlineLevelCol="0"/>
  <cols>
    <col width="26" customWidth="1" min="1" max="1"/>
    <col width="16" customWidth="1" min="2" max="2"/>
    <col width="9" customWidth="1" min="3" max="3"/>
    <col width="11"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1" customWidth="1" min="27" max="27"/>
  </cols>
  <sheetData>
    <row r="1">
      <c r="A1" s="34" t="inlineStr">
        <is>
          <t>Supplementary Table S8d. Per-sample composition - fc-weighted (primary), fractions 0-1</t>
        </is>
      </c>
    </row>
    <row r="2">
      <c r="A2" s="12" t="inlineStr">
        <is>
          <t>column_name</t>
        </is>
      </c>
      <c r="B2" s="12" t="inlineStr">
        <is>
          <t>treatment</t>
        </is>
      </c>
      <c r="C2" s="12" t="inlineStr">
        <is>
          <t>climate</t>
        </is>
      </c>
      <c r="D2" s="12" t="inlineStr">
        <is>
          <t>drought</t>
        </is>
      </c>
      <c r="E2" s="12" t="inlineStr">
        <is>
          <t>Bacteria</t>
        </is>
      </c>
      <c r="F2" s="12" t="inlineStr">
        <is>
          <t>Archaea</t>
        </is>
      </c>
      <c r="G2" s="12" t="inlineStr">
        <is>
          <t>Fungi</t>
        </is>
      </c>
      <c r="H2" s="12" t="inlineStr">
        <is>
          <t>Viridiplantae</t>
        </is>
      </c>
      <c r="I2" s="12" t="inlineStr">
        <is>
          <t>Animalia</t>
        </is>
      </c>
      <c r="J2" s="12" t="inlineStr">
        <is>
          <t>Protists</t>
        </is>
      </c>
      <c r="K2" s="12" t="inlineStr">
        <is>
          <t>Actinomycetota</t>
        </is>
      </c>
      <c r="L2" s="12" t="inlineStr">
        <is>
          <t>Bacillota</t>
        </is>
      </c>
      <c r="M2" s="12" t="inlineStr">
        <is>
          <t>Pseudomonadota</t>
        </is>
      </c>
      <c r="N2" s="12" t="inlineStr">
        <is>
          <t>Methanobacteriota</t>
        </is>
      </c>
      <c r="O2" s="12" t="inlineStr">
        <is>
          <t>Thermoproteota</t>
        </is>
      </c>
      <c r="P2" s="12" t="inlineStr">
        <is>
          <t>Ascomycota</t>
        </is>
      </c>
      <c r="Q2" s="12" t="inlineStr">
        <is>
          <t>Basidiomycota</t>
        </is>
      </c>
      <c r="R2" s="12" t="inlineStr">
        <is>
          <t>Mucoromycota</t>
        </is>
      </c>
      <c r="S2" s="12" t="inlineStr">
        <is>
          <t>Chlorophyta</t>
        </is>
      </c>
      <c r="T2" s="12" t="inlineStr">
        <is>
          <t>Streptophyta</t>
        </is>
      </c>
      <c r="U2" s="12" t="inlineStr">
        <is>
          <t>Arthropoda</t>
        </is>
      </c>
      <c r="V2" s="12" t="inlineStr">
        <is>
          <t>Mollusca</t>
        </is>
      </c>
      <c r="W2" s="12" t="inlineStr">
        <is>
          <t>Nematoda</t>
        </is>
      </c>
      <c r="X2" s="12" t="inlineStr">
        <is>
          <t>Discosea</t>
        </is>
      </c>
      <c r="Y2" s="12" t="inlineStr">
        <is>
          <t>Evosea</t>
        </is>
      </c>
      <c r="Z2" s="12" t="inlineStr">
        <is>
          <t>Heterolobosea</t>
        </is>
      </c>
      <c r="AA2" s="12" t="inlineStr">
        <is>
          <t>Sum check</t>
        </is>
      </c>
    </row>
    <row r="3">
      <c r="A3" s="8" t="inlineStr">
        <is>
          <t>OE12-3-49POS.raw Peak area</t>
        </is>
      </c>
      <c r="B3" s="8" t="inlineStr">
        <is>
          <t>Ambient_Drought</t>
        </is>
      </c>
      <c r="C3" s="8" t="inlineStr">
        <is>
          <t>Ambient</t>
        </is>
      </c>
      <c r="D3" s="8" t="inlineStr">
        <is>
          <t>Drought</t>
        </is>
      </c>
      <c r="E3" s="35" t="n">
        <v>0.3951374611010898</v>
      </c>
      <c r="F3" s="35" t="n">
        <v>0.016594615191253</v>
      </c>
      <c r="G3" s="35" t="n">
        <v>0.276195857224803</v>
      </c>
      <c r="H3" s="35" t="n">
        <v>0.1093416447455419</v>
      </c>
      <c r="I3" s="35" t="n">
        <v>0.1569884718388196</v>
      </c>
      <c r="J3" s="35" t="n">
        <v>0.0457419498984917</v>
      </c>
      <c r="K3" s="35" t="n">
        <v>0.2077222258263221</v>
      </c>
      <c r="L3" s="35" t="n">
        <v>0.0690518234790003</v>
      </c>
      <c r="M3" s="35" t="n">
        <v>0.1183634117957674</v>
      </c>
      <c r="N3" s="35" t="n">
        <v>0.014928234531291</v>
      </c>
      <c r="O3" s="35" t="n">
        <v>0.001666380659962</v>
      </c>
      <c r="P3" s="35" t="n">
        <v>0.0986954558754783</v>
      </c>
      <c r="Q3" s="35" t="n">
        <v>0.1170043164007139</v>
      </c>
      <c r="R3" s="35" t="n">
        <v>0.0604960849486108</v>
      </c>
      <c r="S3" s="35" t="n">
        <v>0.0120317899174691</v>
      </c>
      <c r="T3" s="35" t="n">
        <v>0.09730985482807281</v>
      </c>
      <c r="U3" s="35" t="n">
        <v>0.0547523933714766</v>
      </c>
      <c r="V3" s="35" t="n">
        <v>0.09023248351759119</v>
      </c>
      <c r="W3" s="35" t="n">
        <v>0.0120035949497518</v>
      </c>
      <c r="X3" s="35" t="n">
        <v>0.0073986298998507</v>
      </c>
      <c r="Y3" s="35" t="n">
        <v>0.0154001522007436</v>
      </c>
      <c r="Z3" s="35" t="n">
        <v>0.0229431677978974</v>
      </c>
      <c r="AA3" s="35">
        <f>SUM(K3:Z3)</f>
        <v/>
      </c>
    </row>
    <row r="4">
      <c r="A4" s="8" t="inlineStr">
        <is>
          <t>OE12-3-19POS.raw Peak area</t>
        </is>
      </c>
      <c r="B4" s="8" t="inlineStr">
        <is>
          <t>Ambient_Control</t>
        </is>
      </c>
      <c r="C4" s="8" t="inlineStr">
        <is>
          <t>Ambient</t>
        </is>
      </c>
      <c r="D4" s="8" t="inlineStr">
        <is>
          <t>No_drought</t>
        </is>
      </c>
      <c r="E4" s="35" t="n">
        <v>0.4024275409897174</v>
      </c>
      <c r="F4" s="35" t="n">
        <v>0.0437599505118912</v>
      </c>
      <c r="G4" s="35" t="n">
        <v>0.2880568778082485</v>
      </c>
      <c r="H4" s="35" t="n">
        <v>0.0900412857644068</v>
      </c>
      <c r="I4" s="35" t="n">
        <v>0.1364463380318455</v>
      </c>
      <c r="J4" s="35" t="n">
        <v>0.03926800689389</v>
      </c>
      <c r="K4" s="35" t="n">
        <v>0.1930281116779493</v>
      </c>
      <c r="L4" s="35" t="n">
        <v>0.0510267504032351</v>
      </c>
      <c r="M4" s="35" t="n">
        <v>0.158372678908533</v>
      </c>
      <c r="N4" s="35" t="n">
        <v>0.0354372177635515</v>
      </c>
      <c r="O4" s="35" t="n">
        <v>0.0083227327483397</v>
      </c>
      <c r="P4" s="35" t="n">
        <v>0.0603391251029188</v>
      </c>
      <c r="Q4" s="35" t="n">
        <v>0.1323879664971453</v>
      </c>
      <c r="R4" s="35" t="n">
        <v>0.0953297862081844</v>
      </c>
      <c r="S4" s="35" t="n">
        <v>0.0107338551424071</v>
      </c>
      <c r="T4" s="35" t="n">
        <v>0.0793074306219997</v>
      </c>
      <c r="U4" s="35" t="n">
        <v>0.0421231069160637</v>
      </c>
      <c r="V4" s="35" t="n">
        <v>0.08958270960044309</v>
      </c>
      <c r="W4" s="35" t="n">
        <v>0.0047405215153387</v>
      </c>
      <c r="X4" s="35" t="n">
        <v>0.0107856701699727</v>
      </c>
      <c r="Y4" s="35" t="n">
        <v>0.0123818991799646</v>
      </c>
      <c r="Z4" s="35" t="n">
        <v>0.0161004375439527</v>
      </c>
      <c r="AA4" s="35">
        <f>SUM(K4:Z4)</f>
        <v/>
      </c>
    </row>
    <row r="5">
      <c r="A5" s="8" t="inlineStr">
        <is>
          <t>OE12-3-22POS.raw Peak area</t>
        </is>
      </c>
      <c r="B5" s="8" t="inlineStr">
        <is>
          <t>Ambient_Control</t>
        </is>
      </c>
      <c r="C5" s="8" t="inlineStr">
        <is>
          <t>Ambient</t>
        </is>
      </c>
      <c r="D5" s="8" t="inlineStr">
        <is>
          <t>No_drought</t>
        </is>
      </c>
      <c r="E5" s="35" t="n">
        <v>0.3732470273776814</v>
      </c>
      <c r="F5" s="35" t="n">
        <v>0.0769542752315789</v>
      </c>
      <c r="G5" s="35" t="n">
        <v>0.2587695563964519</v>
      </c>
      <c r="H5" s="35" t="n">
        <v>0.1109194818633688</v>
      </c>
      <c r="I5" s="35" t="n">
        <v>0.1414815709498985</v>
      </c>
      <c r="J5" s="35" t="n">
        <v>0.0386280881810196</v>
      </c>
      <c r="K5" s="35" t="n">
        <v>0.1881280378308004</v>
      </c>
      <c r="L5" s="35" t="n">
        <v>0.0510712889319779</v>
      </c>
      <c r="M5" s="35" t="n">
        <v>0.1340477006149031</v>
      </c>
      <c r="N5" s="35" t="n">
        <v>0.0677721933369435</v>
      </c>
      <c r="O5" s="35" t="n">
        <v>0.0091820818946354</v>
      </c>
      <c r="P5" s="35" t="n">
        <v>0.059651656956401</v>
      </c>
      <c r="Q5" s="35" t="n">
        <v>0.1223756927532358</v>
      </c>
      <c r="R5" s="35" t="n">
        <v>0.0767422066868151</v>
      </c>
      <c r="S5" s="35" t="n">
        <v>0.009259158805381799</v>
      </c>
      <c r="T5" s="35" t="n">
        <v>0.101660323057987</v>
      </c>
      <c r="U5" s="35" t="n">
        <v>0.0425601266331586</v>
      </c>
      <c r="V5" s="35" t="n">
        <v>0.0955002173589965</v>
      </c>
      <c r="W5" s="35" t="n">
        <v>0.0034212269577434</v>
      </c>
      <c r="X5" s="35" t="n">
        <v>0.009134887159758499</v>
      </c>
      <c r="Y5" s="35" t="n">
        <v>0.0128411116125913</v>
      </c>
      <c r="Z5" s="35" t="n">
        <v>0.0166520894086698</v>
      </c>
      <c r="AA5" s="35">
        <f>SUM(K5:Z5)</f>
        <v/>
      </c>
    </row>
    <row r="6">
      <c r="A6" s="8" t="inlineStr">
        <is>
          <t>OE12-3-43POS.raw Peak area</t>
        </is>
      </c>
      <c r="B6" s="8" t="inlineStr">
        <is>
          <t>Future_Drought</t>
        </is>
      </c>
      <c r="C6" s="8" t="inlineStr">
        <is>
          <t>Future</t>
        </is>
      </c>
      <c r="D6" s="8" t="inlineStr">
        <is>
          <t>Drought</t>
        </is>
      </c>
      <c r="E6" s="35" t="n">
        <v>0.3790733758978768</v>
      </c>
      <c r="F6" s="35" t="n">
        <v>0.0731677398520057</v>
      </c>
      <c r="G6" s="35" t="n">
        <v>0.2702013419617076</v>
      </c>
      <c r="H6" s="35" t="n">
        <v>0.1133760837235076</v>
      </c>
      <c r="I6" s="35" t="n">
        <v>0.1259111038380092</v>
      </c>
      <c r="J6" s="35" t="n">
        <v>0.0382703547268923</v>
      </c>
      <c r="K6" s="35" t="n">
        <v>0.2029772781134782</v>
      </c>
      <c r="L6" s="35" t="n">
        <v>0.052429684253546</v>
      </c>
      <c r="M6" s="35" t="n">
        <v>0.1236664135308526</v>
      </c>
      <c r="N6" s="35" t="n">
        <v>0.0477635556528519</v>
      </c>
      <c r="O6" s="35" t="n">
        <v>0.0254041841991538</v>
      </c>
      <c r="P6" s="35" t="n">
        <v>0.0743203697224126</v>
      </c>
      <c r="Q6" s="35" t="n">
        <v>0.1286305585598688</v>
      </c>
      <c r="R6" s="35" t="n">
        <v>0.0672504136794262</v>
      </c>
      <c r="S6" s="35" t="n">
        <v>0.009893328828958299</v>
      </c>
      <c r="T6" s="35" t="n">
        <v>0.1034827548945493</v>
      </c>
      <c r="U6" s="35" t="n">
        <v>0.0443575513917507</v>
      </c>
      <c r="V6" s="35" t="n">
        <v>0.07487891985491869</v>
      </c>
      <c r="W6" s="35" t="n">
        <v>0.0066746325913398</v>
      </c>
      <c r="X6" s="35" t="n">
        <v>0.0086904728114017</v>
      </c>
      <c r="Y6" s="35" t="n">
        <v>0.011495999011634</v>
      </c>
      <c r="Z6" s="35" t="n">
        <v>0.0180838829038566</v>
      </c>
      <c r="AA6" s="35">
        <f>SUM(K6:Z6)</f>
        <v/>
      </c>
    </row>
    <row r="7">
      <c r="A7" s="8" t="inlineStr">
        <is>
          <t>OE12-3-48POS.raw Peak area</t>
        </is>
      </c>
      <c r="B7" s="8" t="inlineStr">
        <is>
          <t>Future_Drought</t>
        </is>
      </c>
      <c r="C7" s="8" t="inlineStr">
        <is>
          <t>Future</t>
        </is>
      </c>
      <c r="D7" s="8" t="inlineStr">
        <is>
          <t>Drought</t>
        </is>
      </c>
      <c r="E7" s="35" t="n">
        <v>0.3569487751777516</v>
      </c>
      <c r="F7" s="35" t="n">
        <v>0.0755524415982264</v>
      </c>
      <c r="G7" s="35" t="n">
        <v>0.3029453914192769</v>
      </c>
      <c r="H7" s="35" t="n">
        <v>0.0849311917127803</v>
      </c>
      <c r="I7" s="35" t="n">
        <v>0.1406899181670321</v>
      </c>
      <c r="J7" s="35" t="n">
        <v>0.0389322819249319</v>
      </c>
      <c r="K7" s="35" t="n">
        <v>0.2011068959125981</v>
      </c>
      <c r="L7" s="35" t="n">
        <v>0.0623983984914647</v>
      </c>
      <c r="M7" s="35" t="n">
        <v>0.0934434807736888</v>
      </c>
      <c r="N7" s="35" t="n">
        <v>0.0651361395522555</v>
      </c>
      <c r="O7" s="35" t="n">
        <v>0.0104163020459709</v>
      </c>
      <c r="P7" s="35" t="n">
        <v>0.08621824161497089</v>
      </c>
      <c r="Q7" s="35" t="n">
        <v>0.1441509507287219</v>
      </c>
      <c r="R7" s="35" t="n">
        <v>0.0725761990755841</v>
      </c>
      <c r="S7" s="35" t="n">
        <v>0.0085459677918787</v>
      </c>
      <c r="T7" s="35" t="n">
        <v>0.07638522392090159</v>
      </c>
      <c r="U7" s="35" t="n">
        <v>0.06387112021957821</v>
      </c>
      <c r="V7" s="35" t="n">
        <v>0.0712309382383855</v>
      </c>
      <c r="W7" s="35" t="n">
        <v>0.0055878597090684</v>
      </c>
      <c r="X7" s="35" t="n">
        <v>0.0114037050827857</v>
      </c>
      <c r="Y7" s="35" t="n">
        <v>0.009872232853525899</v>
      </c>
      <c r="Z7" s="35" t="n">
        <v>0.0176563439886203</v>
      </c>
      <c r="AA7" s="35">
        <f>SUM(K7:Z7)</f>
        <v/>
      </c>
    </row>
    <row r="8">
      <c r="A8" s="8" t="inlineStr">
        <is>
          <t>OE12-3-44POS.raw Peak area</t>
        </is>
      </c>
      <c r="B8" s="8" t="inlineStr">
        <is>
          <t>Ambient_Drought</t>
        </is>
      </c>
      <c r="C8" s="8" t="inlineStr">
        <is>
          <t>Ambient</t>
        </is>
      </c>
      <c r="D8" s="8" t="inlineStr">
        <is>
          <t>Drought</t>
        </is>
      </c>
      <c r="E8" s="35" t="n">
        <v>0.3904109331151005</v>
      </c>
      <c r="F8" s="35" t="n">
        <v>0.09770404184116641</v>
      </c>
      <c r="G8" s="35" t="n">
        <v>0.2424931765779092</v>
      </c>
      <c r="H8" s="35" t="n">
        <v>0.08669196194189829</v>
      </c>
      <c r="I8" s="35" t="n">
        <v>0.1464602360733306</v>
      </c>
      <c r="J8" s="35" t="n">
        <v>0.0362396504505942</v>
      </c>
      <c r="K8" s="35" t="n">
        <v>0.2264215754392542</v>
      </c>
      <c r="L8" s="35" t="n">
        <v>0.0640366855638472</v>
      </c>
      <c r="M8" s="35" t="n">
        <v>0.0999526721119991</v>
      </c>
      <c r="N8" s="35" t="n">
        <v>0.0826905150529182</v>
      </c>
      <c r="O8" s="35" t="n">
        <v>0.0150135267882482</v>
      </c>
      <c r="P8" s="35" t="n">
        <v>0.0552448648569016</v>
      </c>
      <c r="Q8" s="35" t="n">
        <v>0.1218555457190315</v>
      </c>
      <c r="R8" s="35" t="n">
        <v>0.0653927660019761</v>
      </c>
      <c r="S8" s="35" t="n">
        <v>0.009358689648987799</v>
      </c>
      <c r="T8" s="35" t="n">
        <v>0.0773332722929105</v>
      </c>
      <c r="U8" s="35" t="n">
        <v>0.042039376964688</v>
      </c>
      <c r="V8" s="35" t="n">
        <v>0.1000307320804637</v>
      </c>
      <c r="W8" s="35" t="n">
        <v>0.0043901270281789</v>
      </c>
      <c r="X8" s="35" t="n">
        <v>0.0090047264326568</v>
      </c>
      <c r="Y8" s="35" t="n">
        <v>0.009122369369633201</v>
      </c>
      <c r="Z8" s="35" t="n">
        <v>0.0181125546483042</v>
      </c>
      <c r="AA8" s="35">
        <f>SUM(K8:Z8)</f>
        <v/>
      </c>
    </row>
    <row r="9">
      <c r="A9" s="8" t="inlineStr">
        <is>
          <t>OE12-3-40POS.raw Peak area</t>
        </is>
      </c>
      <c r="B9" s="8" t="inlineStr">
        <is>
          <t>Future_Control</t>
        </is>
      </c>
      <c r="C9" s="8" t="inlineStr">
        <is>
          <t>Future</t>
        </is>
      </c>
      <c r="D9" s="8" t="inlineStr">
        <is>
          <t>No_drought</t>
        </is>
      </c>
      <c r="E9" s="35" t="n">
        <v>0.3849771313077875</v>
      </c>
      <c r="F9" s="35" t="n">
        <v>0.0781687811433899</v>
      </c>
      <c r="G9" s="35" t="n">
        <v>0.2697399138628461</v>
      </c>
      <c r="H9" s="35" t="n">
        <v>0.0719921631607999</v>
      </c>
      <c r="I9" s="35" t="n">
        <v>0.1537063301232992</v>
      </c>
      <c r="J9" s="35" t="n">
        <v>0.0414156804018764</v>
      </c>
      <c r="K9" s="35" t="n">
        <v>0.1772029646059855</v>
      </c>
      <c r="L9" s="35" t="n">
        <v>0.058681725946765</v>
      </c>
      <c r="M9" s="35" t="n">
        <v>0.149092440755037</v>
      </c>
      <c r="N9" s="35" t="n">
        <v>0.066987202364349</v>
      </c>
      <c r="O9" s="35" t="n">
        <v>0.0111815787790409</v>
      </c>
      <c r="P9" s="35" t="n">
        <v>0.0525488763759845</v>
      </c>
      <c r="Q9" s="35" t="n">
        <v>0.1498307412047478</v>
      </c>
      <c r="R9" s="35" t="n">
        <v>0.0673602962821138</v>
      </c>
      <c r="S9" s="35" t="n">
        <v>0.0097605948567981</v>
      </c>
      <c r="T9" s="35" t="n">
        <v>0.0622315683040018</v>
      </c>
      <c r="U9" s="35" t="n">
        <v>0.0496470002190912</v>
      </c>
      <c r="V9" s="35" t="n">
        <v>0.0996653259068935</v>
      </c>
      <c r="W9" s="35" t="n">
        <v>0.0043940039973145</v>
      </c>
      <c r="X9" s="35" t="n">
        <v>0.0113631219659334</v>
      </c>
      <c r="Y9" s="35" t="n">
        <v>0.0145336604428265</v>
      </c>
      <c r="Z9" s="35" t="n">
        <v>0.0155188979931165</v>
      </c>
      <c r="AA9" s="35">
        <f>SUM(K9:Z9)</f>
        <v/>
      </c>
    </row>
    <row r="10">
      <c r="A10" s="8" t="inlineStr">
        <is>
          <t>OE12-3-27POS.raw Peak area</t>
        </is>
      </c>
      <c r="B10" s="8" t="inlineStr">
        <is>
          <t>Future_Drought</t>
        </is>
      </c>
      <c r="C10" s="8" t="inlineStr">
        <is>
          <t>Future</t>
        </is>
      </c>
      <c r="D10" s="8" t="inlineStr">
        <is>
          <t>Drought</t>
        </is>
      </c>
      <c r="E10" s="35" t="n">
        <v>0.4125865772259487</v>
      </c>
      <c r="F10" s="35" t="n">
        <v>0.0378565742809111</v>
      </c>
      <c r="G10" s="35" t="n">
        <v>0.2875359388666428</v>
      </c>
      <c r="H10" s="35" t="n">
        <v>0.09049189843446991</v>
      </c>
      <c r="I10" s="35" t="n">
        <v>0.135359068315621</v>
      </c>
      <c r="J10" s="35" t="n">
        <v>0.0361699428764059</v>
      </c>
      <c r="K10" s="35" t="n">
        <v>0.2828520667223695</v>
      </c>
      <c r="L10" s="35" t="n">
        <v>0.0487715290621975</v>
      </c>
      <c r="M10" s="35" t="n">
        <v>0.0809629814413817</v>
      </c>
      <c r="N10" s="35" t="n">
        <v>0.0284882507538123</v>
      </c>
      <c r="O10" s="35" t="n">
        <v>0.0093683235270988</v>
      </c>
      <c r="P10" s="35" t="n">
        <v>0.06918160862591741</v>
      </c>
      <c r="Q10" s="35" t="n">
        <v>0.1419857965447073</v>
      </c>
      <c r="R10" s="35" t="n">
        <v>0.07636853369601811</v>
      </c>
      <c r="S10" s="35" t="n">
        <v>0.009921670007042501</v>
      </c>
      <c r="T10" s="35" t="n">
        <v>0.08057022842742741</v>
      </c>
      <c r="U10" s="35" t="n">
        <v>0.0595925835983722</v>
      </c>
      <c r="V10" s="35" t="n">
        <v>0.069767410715652</v>
      </c>
      <c r="W10" s="35" t="n">
        <v>0.0059990740015968</v>
      </c>
      <c r="X10" s="35" t="n">
        <v>0.0086144375008281</v>
      </c>
      <c r="Y10" s="35" t="n">
        <v>0.0107617542650076</v>
      </c>
      <c r="Z10" s="35" t="n">
        <v>0.0167937511105702</v>
      </c>
      <c r="AA10" s="35">
        <f>SUM(K10:Z10)</f>
        <v/>
      </c>
    </row>
    <row r="11">
      <c r="A11" s="8" t="inlineStr">
        <is>
          <t>OE12-3-28POS.raw Peak area</t>
        </is>
      </c>
      <c r="B11" s="8" t="inlineStr">
        <is>
          <t>Ambient_Drought</t>
        </is>
      </c>
      <c r="C11" s="8" t="inlineStr">
        <is>
          <t>Ambient</t>
        </is>
      </c>
      <c r="D11" s="8" t="inlineStr">
        <is>
          <t>Drought</t>
        </is>
      </c>
      <c r="E11" s="35" t="n">
        <v>0.3737529272055504</v>
      </c>
      <c r="F11" s="35" t="n">
        <v>0.0181880388167929</v>
      </c>
      <c r="G11" s="35" t="n">
        <v>0.2487435714548648</v>
      </c>
      <c r="H11" s="35" t="n">
        <v>0.1098255824564671</v>
      </c>
      <c r="I11" s="35" t="n">
        <v>0.1953928824169811</v>
      </c>
      <c r="J11" s="35" t="n">
        <v>0.0540969976493428</v>
      </c>
      <c r="K11" s="35" t="n">
        <v>0.1627301177656457</v>
      </c>
      <c r="L11" s="35" t="n">
        <v>0.0878610745738914</v>
      </c>
      <c r="M11" s="35" t="n">
        <v>0.1231617348660133</v>
      </c>
      <c r="N11" s="35" t="n">
        <v>0.0169252038129841</v>
      </c>
      <c r="O11" s="35" t="n">
        <v>0.0012628350038088</v>
      </c>
      <c r="P11" s="35" t="n">
        <v>0.1035709901373484</v>
      </c>
      <c r="Q11" s="35" t="n">
        <v>0.0844256971557731</v>
      </c>
      <c r="R11" s="35" t="n">
        <v>0.0607468841617433</v>
      </c>
      <c r="S11" s="35" t="n">
        <v>0.0132321648451792</v>
      </c>
      <c r="T11" s="35" t="n">
        <v>0.0965934176112879</v>
      </c>
      <c r="U11" s="35" t="n">
        <v>0.06559747064686509</v>
      </c>
      <c r="V11" s="35" t="n">
        <v>0.121507711659433</v>
      </c>
      <c r="W11" s="35" t="n">
        <v>0.008287700110682999</v>
      </c>
      <c r="X11" s="35" t="n">
        <v>0.0126229909473696</v>
      </c>
      <c r="Y11" s="35" t="n">
        <v>0.0174976885354983</v>
      </c>
      <c r="Z11" s="35" t="n">
        <v>0.0239763181664749</v>
      </c>
      <c r="AA11" s="35">
        <f>SUM(K11:Z11)</f>
        <v/>
      </c>
    </row>
    <row r="12">
      <c r="A12" s="8" t="inlineStr">
        <is>
          <t>OE12-3-35POS.raw Peak area</t>
        </is>
      </c>
      <c r="B12" s="8" t="inlineStr">
        <is>
          <t>Future_Control</t>
        </is>
      </c>
      <c r="C12" s="8" t="inlineStr">
        <is>
          <t>Future</t>
        </is>
      </c>
      <c r="D12" s="8" t="inlineStr">
        <is>
          <t>No_drought</t>
        </is>
      </c>
      <c r="E12" s="35" t="n">
        <v>0.4012532956285914</v>
      </c>
      <c r="F12" s="35" t="n">
        <v>0.0499515529182323</v>
      </c>
      <c r="G12" s="35" t="n">
        <v>0.2523358448069156</v>
      </c>
      <c r="H12" s="35" t="n">
        <v>0.09127861865298649</v>
      </c>
      <c r="I12" s="35" t="n">
        <v>0.1604258549383257</v>
      </c>
      <c r="J12" s="35" t="n">
        <v>0.0447548330549479</v>
      </c>
      <c r="K12" s="35" t="n">
        <v>0.2015289573062932</v>
      </c>
      <c r="L12" s="35" t="n">
        <v>0.06651761131003441</v>
      </c>
      <c r="M12" s="35" t="n">
        <v>0.1332067270122638</v>
      </c>
      <c r="N12" s="35" t="n">
        <v>0.0449605948624744</v>
      </c>
      <c r="O12" s="35" t="n">
        <v>0.0049909580557579</v>
      </c>
      <c r="P12" s="35" t="n">
        <v>0.07798150515083301</v>
      </c>
      <c r="Q12" s="35" t="n">
        <v>0.1152060400719753</v>
      </c>
      <c r="R12" s="35" t="n">
        <v>0.0591482995841073</v>
      </c>
      <c r="S12" s="35" t="n">
        <v>0.0112259985157788</v>
      </c>
      <c r="T12" s="35" t="n">
        <v>0.08005262013720769</v>
      </c>
      <c r="U12" s="35" t="n">
        <v>0.0493296714276489</v>
      </c>
      <c r="V12" s="35" t="n">
        <v>0.1072400447569517</v>
      </c>
      <c r="W12" s="35" t="n">
        <v>0.0038561387537251</v>
      </c>
      <c r="X12" s="35" t="n">
        <v>0.0135823415026329</v>
      </c>
      <c r="Y12" s="35" t="n">
        <v>0.0144809483011547</v>
      </c>
      <c r="Z12" s="35" t="n">
        <v>0.0166915432511603</v>
      </c>
      <c r="AA12" s="35">
        <f>SUM(K12:Z12)</f>
        <v/>
      </c>
    </row>
    <row r="13">
      <c r="A13" s="8" t="inlineStr">
        <is>
          <t>OE12-3-36POS.raw Peak area</t>
        </is>
      </c>
      <c r="B13" s="8" t="inlineStr">
        <is>
          <t>Ambient_Control</t>
        </is>
      </c>
      <c r="C13" s="8" t="inlineStr">
        <is>
          <t>Ambient</t>
        </is>
      </c>
      <c r="D13" s="8" t="inlineStr">
        <is>
          <t>No_drought</t>
        </is>
      </c>
      <c r="E13" s="35" t="n">
        <v>0.3564525088897478</v>
      </c>
      <c r="F13" s="35" t="n">
        <v>0.0659104536775456</v>
      </c>
      <c r="G13" s="35" t="n">
        <v>0.3215468917436656</v>
      </c>
      <c r="H13" s="35" t="n">
        <v>0.07671689140608319</v>
      </c>
      <c r="I13" s="35" t="n">
        <v>0.1389507041299014</v>
      </c>
      <c r="J13" s="35" t="n">
        <v>0.0404225501530555</v>
      </c>
      <c r="K13" s="35" t="n">
        <v>0.1833664480360373</v>
      </c>
      <c r="L13" s="35" t="n">
        <v>0.0530057314644346</v>
      </c>
      <c r="M13" s="35" t="n">
        <v>0.1200803293892759</v>
      </c>
      <c r="N13" s="35" t="n">
        <v>0.0536188766227972</v>
      </c>
      <c r="O13" s="35" t="n">
        <v>0.0122915770547484</v>
      </c>
      <c r="P13" s="35" t="n">
        <v>0.07348449622540081</v>
      </c>
      <c r="Q13" s="35" t="n">
        <v>0.1848315428568358</v>
      </c>
      <c r="R13" s="35" t="n">
        <v>0.063230852661429</v>
      </c>
      <c r="S13" s="35" t="n">
        <v>0.009675959319888201</v>
      </c>
      <c r="T13" s="35" t="n">
        <v>0.06704093208619499</v>
      </c>
      <c r="U13" s="35" t="n">
        <v>0.0392962188953616</v>
      </c>
      <c r="V13" s="35" t="n">
        <v>0.0953700806948284</v>
      </c>
      <c r="W13" s="35" t="n">
        <v>0.0042844045397114</v>
      </c>
      <c r="X13" s="35" t="n">
        <v>0.0123167549158087</v>
      </c>
      <c r="Y13" s="35" t="n">
        <v>0.0131109440890337</v>
      </c>
      <c r="Z13" s="35" t="n">
        <v>0.0149948511482131</v>
      </c>
      <c r="AA13" s="35">
        <f>SUM(K13:Z13)</f>
        <v/>
      </c>
    </row>
    <row r="14">
      <c r="A14" s="8" t="inlineStr">
        <is>
          <t>OE12-3-52POS.raw Peak area</t>
        </is>
      </c>
      <c r="B14" s="8" t="inlineStr">
        <is>
          <t>Future_Control</t>
        </is>
      </c>
      <c r="C14" s="8" t="inlineStr">
        <is>
          <t>Future</t>
        </is>
      </c>
      <c r="D14" s="8" t="inlineStr">
        <is>
          <t>No_drought</t>
        </is>
      </c>
      <c r="E14" s="35" t="n">
        <v>0.360320665119736</v>
      </c>
      <c r="F14" s="35" t="n">
        <v>0.0305426633821173</v>
      </c>
      <c r="G14" s="35" t="n">
        <v>0.3205489789939302</v>
      </c>
      <c r="H14" s="35" t="n">
        <v>0.1158934378989357</v>
      </c>
      <c r="I14" s="35" t="n">
        <v>0.1339281743553096</v>
      </c>
      <c r="J14" s="35" t="n">
        <v>0.0387660802499705</v>
      </c>
      <c r="K14" s="35" t="n">
        <v>0.1942228142929802</v>
      </c>
      <c r="L14" s="35" t="n">
        <v>0.0588581751811998</v>
      </c>
      <c r="M14" s="35" t="n">
        <v>0.107239675645556</v>
      </c>
      <c r="N14" s="35" t="n">
        <v>0.0261807303150101</v>
      </c>
      <c r="O14" s="35" t="n">
        <v>0.0043619330671072</v>
      </c>
      <c r="P14" s="35" t="n">
        <v>0.1123432650860588</v>
      </c>
      <c r="Q14" s="35" t="n">
        <v>0.1356907826470578</v>
      </c>
      <c r="R14" s="35" t="n">
        <v>0.0725149312608136</v>
      </c>
      <c r="S14" s="35" t="n">
        <v>0.0119174364134216</v>
      </c>
      <c r="T14" s="35" t="n">
        <v>0.1039760014855141</v>
      </c>
      <c r="U14" s="35" t="n">
        <v>0.0477340344333721</v>
      </c>
      <c r="V14" s="35" t="n">
        <v>0.0800654905030198</v>
      </c>
      <c r="W14" s="35" t="n">
        <v>0.0061286494189177</v>
      </c>
      <c r="X14" s="35" t="n">
        <v>0.0124615006981531</v>
      </c>
      <c r="Y14" s="35" t="n">
        <v>0.0110999138740895</v>
      </c>
      <c r="Z14" s="35" t="n">
        <v>0.0152046656777279</v>
      </c>
      <c r="AA14" s="35">
        <f>SUM(K14:Z14)</f>
        <v/>
      </c>
    </row>
  </sheetData>
  <mergeCells count="1">
    <mergeCell ref="A1:AA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outlineLevelCol="0"/>
  <cols>
    <col width="26" customWidth="1" min="1" max="1"/>
    <col width="16" customWidth="1" min="2" max="2"/>
    <col width="9" customWidth="1" min="3" max="3"/>
    <col width="11"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1" customWidth="1" min="27" max="27"/>
  </cols>
  <sheetData>
    <row r="1">
      <c r="A1" s="34" t="inlineStr">
        <is>
          <t>Supplementary Table S8e. Per-sample composition - marker-panel (provenance overlay), fractions 0-1</t>
        </is>
      </c>
    </row>
    <row r="2">
      <c r="A2" s="12" t="inlineStr">
        <is>
          <t>column_name</t>
        </is>
      </c>
      <c r="B2" s="12" t="inlineStr">
        <is>
          <t>treatment</t>
        </is>
      </c>
      <c r="C2" s="12" t="inlineStr">
        <is>
          <t>climate</t>
        </is>
      </c>
      <c r="D2" s="12" t="inlineStr">
        <is>
          <t>drought</t>
        </is>
      </c>
      <c r="E2" s="12" t="inlineStr">
        <is>
          <t>Bacteria</t>
        </is>
      </c>
      <c r="F2" s="12" t="inlineStr">
        <is>
          <t>Archaea</t>
        </is>
      </c>
      <c r="G2" s="12" t="inlineStr">
        <is>
          <t>Fungi</t>
        </is>
      </c>
      <c r="H2" s="12" t="inlineStr">
        <is>
          <t>Viridiplantae</t>
        </is>
      </c>
      <c r="I2" s="12" t="inlineStr">
        <is>
          <t>Animalia</t>
        </is>
      </c>
      <c r="J2" s="12" t="inlineStr">
        <is>
          <t>Protists</t>
        </is>
      </c>
      <c r="K2" s="12" t="inlineStr">
        <is>
          <t>Actinomycetota</t>
        </is>
      </c>
      <c r="L2" s="12" t="inlineStr">
        <is>
          <t>Bacillota</t>
        </is>
      </c>
      <c r="M2" s="12" t="inlineStr">
        <is>
          <t>Pseudomonadota</t>
        </is>
      </c>
      <c r="N2" s="12" t="inlineStr">
        <is>
          <t>Methanobacteriota</t>
        </is>
      </c>
      <c r="O2" s="12" t="inlineStr">
        <is>
          <t>Thermoproteota</t>
        </is>
      </c>
      <c r="P2" s="12" t="inlineStr">
        <is>
          <t>Ascomycota</t>
        </is>
      </c>
      <c r="Q2" s="12" t="inlineStr">
        <is>
          <t>Basidiomycota</t>
        </is>
      </c>
      <c r="R2" s="12" t="inlineStr">
        <is>
          <t>Mucoromycota</t>
        </is>
      </c>
      <c r="S2" s="12" t="inlineStr">
        <is>
          <t>Chlorophyta</t>
        </is>
      </c>
      <c r="T2" s="12" t="inlineStr">
        <is>
          <t>Streptophyta</t>
        </is>
      </c>
      <c r="U2" s="12" t="inlineStr">
        <is>
          <t>Arthropoda</t>
        </is>
      </c>
      <c r="V2" s="12" t="inlineStr">
        <is>
          <t>Mollusca</t>
        </is>
      </c>
      <c r="W2" s="12" t="inlineStr">
        <is>
          <t>Nematoda</t>
        </is>
      </c>
      <c r="X2" s="12" t="inlineStr">
        <is>
          <t>Discosea</t>
        </is>
      </c>
      <c r="Y2" s="12" t="inlineStr">
        <is>
          <t>Evosea</t>
        </is>
      </c>
      <c r="Z2" s="12" t="inlineStr">
        <is>
          <t>Heterolobosea</t>
        </is>
      </c>
      <c r="AA2" s="12" t="inlineStr">
        <is>
          <t>Sum check</t>
        </is>
      </c>
    </row>
    <row r="3">
      <c r="A3" s="8" t="inlineStr">
        <is>
          <t>OE12-3-49POS.raw Peak area</t>
        </is>
      </c>
      <c r="B3" s="8" t="inlineStr">
        <is>
          <t>Ambient_Drought</t>
        </is>
      </c>
      <c r="C3" s="8" t="inlineStr">
        <is>
          <t>Ambient</t>
        </is>
      </c>
      <c r="D3" s="8" t="inlineStr">
        <is>
          <t>Drought</t>
        </is>
      </c>
      <c r="E3" s="35" t="n">
        <v>0.1802142994629972</v>
      </c>
      <c r="F3" s="35" t="n">
        <v>0.0027085865912653</v>
      </c>
      <c r="G3" s="35" t="n">
        <v>0.2735218159962252</v>
      </c>
      <c r="H3" s="35" t="n">
        <v>0.2789991892575414</v>
      </c>
      <c r="I3" s="35" t="n">
        <v>0.1488123045371183</v>
      </c>
      <c r="J3" s="35" t="n">
        <v>0.1157438041548519</v>
      </c>
      <c r="K3" s="35" t="n">
        <v>0.1131999415224588</v>
      </c>
      <c r="L3" s="35" t="n">
        <v>0.041020441597367</v>
      </c>
      <c r="M3" s="35" t="n">
        <v>0.0259939163431714</v>
      </c>
      <c r="N3" s="35" t="n">
        <v>0.0025540788184271</v>
      </c>
      <c r="O3" s="35" t="n">
        <v>0.0001545077728382</v>
      </c>
      <c r="P3" s="35" t="n">
        <v>0.0361576464862492</v>
      </c>
      <c r="Q3" s="35" t="n">
        <v>0.190648520893568</v>
      </c>
      <c r="R3" s="35" t="n">
        <v>0.046715648616408</v>
      </c>
      <c r="S3" s="35" t="n">
        <v>0.0564909270509481</v>
      </c>
      <c r="T3" s="35" t="n">
        <v>0.2225082622065933</v>
      </c>
      <c r="U3" s="35" t="n">
        <v>0.0419438910353798</v>
      </c>
      <c r="V3" s="35" t="n">
        <v>0.0582442735165568</v>
      </c>
      <c r="W3" s="35" t="n">
        <v>0.0486241399851817</v>
      </c>
      <c r="X3" s="35" t="n">
        <v>0.0145724274552152</v>
      </c>
      <c r="Y3" s="35" t="n">
        <v>0.0362674175988922</v>
      </c>
      <c r="Z3" s="35" t="n">
        <v>0.06490395910074449</v>
      </c>
      <c r="AA3" s="35">
        <f>SUM(K3:Z3)</f>
        <v/>
      </c>
    </row>
    <row r="4">
      <c r="A4" s="8" t="inlineStr">
        <is>
          <t>OE12-3-19POS.raw Peak area</t>
        </is>
      </c>
      <c r="B4" s="8" t="inlineStr">
        <is>
          <t>Ambient_Control</t>
        </is>
      </c>
      <c r="C4" s="8" t="inlineStr">
        <is>
          <t>Ambient</t>
        </is>
      </c>
      <c r="D4" s="8" t="inlineStr">
        <is>
          <t>No_drought</t>
        </is>
      </c>
      <c r="E4" s="35" t="n">
        <v>0.1871315871984043</v>
      </c>
      <c r="F4" s="35" t="n">
        <v>0.0017519696103488</v>
      </c>
      <c r="G4" s="35" t="n">
        <v>0.2729389813724872</v>
      </c>
      <c r="H4" s="35" t="n">
        <v>0.2783545367599073</v>
      </c>
      <c r="I4" s="35" t="n">
        <v>0.1433940288626096</v>
      </c>
      <c r="J4" s="35" t="n">
        <v>0.1164288961962419</v>
      </c>
      <c r="K4" s="35" t="n">
        <v>0.1122807246236216</v>
      </c>
      <c r="L4" s="35" t="n">
        <v>0.0314128186938781</v>
      </c>
      <c r="M4" s="35" t="n">
        <v>0.0434380438809046</v>
      </c>
      <c r="N4" s="35" t="n">
        <v>0.0015147036609955</v>
      </c>
      <c r="O4" s="35" t="n">
        <v>0.0002372659493533</v>
      </c>
      <c r="P4" s="35" t="n">
        <v>0.0288873326563429</v>
      </c>
      <c r="Q4" s="35" t="n">
        <v>0.1756531387254434</v>
      </c>
      <c r="R4" s="35" t="n">
        <v>0.06839850999070091</v>
      </c>
      <c r="S4" s="35" t="n">
        <v>0.054443175794941</v>
      </c>
      <c r="T4" s="35" t="n">
        <v>0.2239113609649663</v>
      </c>
      <c r="U4" s="35" t="n">
        <v>0.0356980791691545</v>
      </c>
      <c r="V4" s="35" t="n">
        <v>0.07909161996399069</v>
      </c>
      <c r="W4" s="35" t="n">
        <v>0.0286043297294644</v>
      </c>
      <c r="X4" s="35" t="n">
        <v>0.0287098073351131</v>
      </c>
      <c r="Y4" s="35" t="n">
        <v>0.0362565696318481</v>
      </c>
      <c r="Z4" s="35" t="n">
        <v>0.0514625192292807</v>
      </c>
      <c r="AA4" s="35">
        <f>SUM(K4:Z4)</f>
        <v/>
      </c>
    </row>
    <row r="5">
      <c r="A5" s="8" t="inlineStr">
        <is>
          <t>OE12-3-22POS.raw Peak area</t>
        </is>
      </c>
      <c r="B5" s="8" t="inlineStr">
        <is>
          <t>Ambient_Control</t>
        </is>
      </c>
      <c r="C5" s="8" t="inlineStr">
        <is>
          <t>Ambient</t>
        </is>
      </c>
      <c r="D5" s="8" t="inlineStr">
        <is>
          <t>No_drought</t>
        </is>
      </c>
      <c r="E5" s="35" t="n">
        <v>0.178680453929056</v>
      </c>
      <c r="F5" s="35" t="n">
        <v>0.002932245270679</v>
      </c>
      <c r="G5" s="35" t="n">
        <v>0.2422252668147004</v>
      </c>
      <c r="H5" s="35" t="n">
        <v>0.3276751967729372</v>
      </c>
      <c r="I5" s="35" t="n">
        <v>0.128219890475432</v>
      </c>
      <c r="J5" s="35" t="n">
        <v>0.1202669467371945</v>
      </c>
      <c r="K5" s="35" t="n">
        <v>0.1122061679614894</v>
      </c>
      <c r="L5" s="35" t="n">
        <v>0.0292344283717998</v>
      </c>
      <c r="M5" s="35" t="n">
        <v>0.0372398575957668</v>
      </c>
      <c r="N5" s="35" t="n">
        <v>0.0026383471020848</v>
      </c>
      <c r="O5" s="35" t="n">
        <v>0.0002938981685942</v>
      </c>
      <c r="P5" s="35" t="n">
        <v>0.0267109346559254</v>
      </c>
      <c r="Q5" s="35" t="n">
        <v>0.1616289571781872</v>
      </c>
      <c r="R5" s="35" t="n">
        <v>0.0538853749805878</v>
      </c>
      <c r="S5" s="35" t="n">
        <v>0.0558978704889434</v>
      </c>
      <c r="T5" s="35" t="n">
        <v>0.2717773262839938</v>
      </c>
      <c r="U5" s="35" t="n">
        <v>0.0410322673527033</v>
      </c>
      <c r="V5" s="35" t="n">
        <v>0.0696423687701779</v>
      </c>
      <c r="W5" s="35" t="n">
        <v>0.0175452543525508</v>
      </c>
      <c r="X5" s="35" t="n">
        <v>0.0324344684226794</v>
      </c>
      <c r="Y5" s="35" t="n">
        <v>0.0355750027365234</v>
      </c>
      <c r="Z5" s="35" t="n">
        <v>0.0522574755779917</v>
      </c>
      <c r="AA5" s="35">
        <f>SUM(K5:Z5)</f>
        <v/>
      </c>
    </row>
    <row r="6">
      <c r="A6" s="8" t="inlineStr">
        <is>
          <t>OE12-3-43POS.raw Peak area</t>
        </is>
      </c>
      <c r="B6" s="8" t="inlineStr">
        <is>
          <t>Future_Drought</t>
        </is>
      </c>
      <c r="C6" s="8" t="inlineStr">
        <is>
          <t>Future</t>
        </is>
      </c>
      <c r="D6" s="8" t="inlineStr">
        <is>
          <t>Drought</t>
        </is>
      </c>
      <c r="E6" s="35" t="n">
        <v>0.1739024914366862</v>
      </c>
      <c r="F6" s="35" t="n">
        <v>0.003521064212383</v>
      </c>
      <c r="G6" s="35" t="n">
        <v>0.2632129958774525</v>
      </c>
      <c r="H6" s="35" t="n">
        <v>0.3197444751470945</v>
      </c>
      <c r="I6" s="35" t="n">
        <v>0.1349016957760976</v>
      </c>
      <c r="J6" s="35" t="n">
        <v>0.1047172775502854</v>
      </c>
      <c r="K6" s="35" t="n">
        <v>0.1116330051451419</v>
      </c>
      <c r="L6" s="35" t="n">
        <v>0.0287815300244653</v>
      </c>
      <c r="M6" s="35" t="n">
        <v>0.033487956267079</v>
      </c>
      <c r="N6" s="35" t="n">
        <v>0.00218615230605</v>
      </c>
      <c r="O6" s="35" t="n">
        <v>0.001334911906333</v>
      </c>
      <c r="P6" s="35" t="n">
        <v>0.0342389030341111</v>
      </c>
      <c r="Q6" s="35" t="n">
        <v>0.1802184058382797</v>
      </c>
      <c r="R6" s="35" t="n">
        <v>0.0487556870050617</v>
      </c>
      <c r="S6" s="35" t="n">
        <v>0.053427216232628</v>
      </c>
      <c r="T6" s="35" t="n">
        <v>0.2663172589144665</v>
      </c>
      <c r="U6" s="35" t="n">
        <v>0.0455603045937528</v>
      </c>
      <c r="V6" s="35" t="n">
        <v>0.0574809772845805</v>
      </c>
      <c r="W6" s="35" t="n">
        <v>0.0318604138977643</v>
      </c>
      <c r="X6" s="35" t="n">
        <v>0.0139721045019033</v>
      </c>
      <c r="Y6" s="35" t="n">
        <v>0.033210740508529</v>
      </c>
      <c r="Z6" s="35" t="n">
        <v>0.0575344325398531</v>
      </c>
      <c r="AA6" s="35">
        <f>SUM(K6:Z6)</f>
        <v/>
      </c>
    </row>
    <row r="7">
      <c r="A7" s="8" t="inlineStr">
        <is>
          <t>OE12-3-48POS.raw Peak area</t>
        </is>
      </c>
      <c r="B7" s="8" t="inlineStr">
        <is>
          <t>Future_Drought</t>
        </is>
      </c>
      <c r="C7" s="8" t="inlineStr">
        <is>
          <t>Future</t>
        </is>
      </c>
      <c r="D7" s="8" t="inlineStr">
        <is>
          <t>Drought</t>
        </is>
      </c>
      <c r="E7" s="35" t="n">
        <v>0.1857725226316692</v>
      </c>
      <c r="F7" s="35" t="n">
        <v>0.002958104425799</v>
      </c>
      <c r="G7" s="35" t="n">
        <v>0.3026774285693652</v>
      </c>
      <c r="H7" s="35" t="n">
        <v>0.2725921040365809</v>
      </c>
      <c r="I7" s="35" t="n">
        <v>0.1310410221756706</v>
      </c>
      <c r="J7" s="35" t="n">
        <v>0.1049588181609144</v>
      </c>
      <c r="K7" s="35" t="n">
        <v>0.1176555674016478</v>
      </c>
      <c r="L7" s="35" t="n">
        <v>0.0430613347158183</v>
      </c>
      <c r="M7" s="35" t="n">
        <v>0.0250556205142031</v>
      </c>
      <c r="N7" s="35" t="n">
        <v>0.0025547735869704</v>
      </c>
      <c r="O7" s="35" t="n">
        <v>0.0004033308388286</v>
      </c>
      <c r="P7" s="35" t="n">
        <v>0.0399933602912167</v>
      </c>
      <c r="Q7" s="35" t="n">
        <v>0.2039829304950209</v>
      </c>
      <c r="R7" s="35" t="n">
        <v>0.0587011377831276</v>
      </c>
      <c r="S7" s="35" t="n">
        <v>0.0572560739894835</v>
      </c>
      <c r="T7" s="35" t="n">
        <v>0.2153360300470974</v>
      </c>
      <c r="U7" s="35" t="n">
        <v>0.0469185332760235</v>
      </c>
      <c r="V7" s="35" t="n">
        <v>0.0566968873784072</v>
      </c>
      <c r="W7" s="35" t="n">
        <v>0.0274256015212399</v>
      </c>
      <c r="X7" s="35" t="n">
        <v>0.0178667384802994</v>
      </c>
      <c r="Y7" s="35" t="n">
        <v>0.0303183103494548</v>
      </c>
      <c r="Z7" s="35" t="n">
        <v>0.0567737693311602</v>
      </c>
      <c r="AA7" s="35">
        <f>SUM(K7:Z7)</f>
        <v/>
      </c>
    </row>
    <row r="8">
      <c r="A8" s="8" t="inlineStr">
        <is>
          <t>OE12-3-44POS.raw Peak area</t>
        </is>
      </c>
      <c r="B8" s="8" t="inlineStr">
        <is>
          <t>Ambient_Drought</t>
        </is>
      </c>
      <c r="C8" s="8" t="inlineStr">
        <is>
          <t>Ambient</t>
        </is>
      </c>
      <c r="D8" s="8" t="inlineStr">
        <is>
          <t>Drought</t>
        </is>
      </c>
      <c r="E8" s="35" t="n">
        <v>0.2025285489991085</v>
      </c>
      <c r="F8" s="35" t="n">
        <v>0.0042325991864246</v>
      </c>
      <c r="G8" s="35" t="n">
        <v>0.2446829847134061</v>
      </c>
      <c r="H8" s="35" t="n">
        <v>0.297156535158503</v>
      </c>
      <c r="I8" s="35" t="n">
        <v>0.1484323881655295</v>
      </c>
      <c r="J8" s="35" t="n">
        <v>0.1029669437770276</v>
      </c>
      <c r="K8" s="35" t="n">
        <v>0.132018617125873</v>
      </c>
      <c r="L8" s="35" t="n">
        <v>0.0422974970136617</v>
      </c>
      <c r="M8" s="35" t="n">
        <v>0.0282124348595738</v>
      </c>
      <c r="N8" s="35" t="n">
        <v>0.00378403030898</v>
      </c>
      <c r="O8" s="35" t="n">
        <v>0.0004485688774446</v>
      </c>
      <c r="P8" s="35" t="n">
        <v>0.0287940062015613</v>
      </c>
      <c r="Q8" s="35" t="n">
        <v>0.1615361945679151</v>
      </c>
      <c r="R8" s="35" t="n">
        <v>0.0543527839439297</v>
      </c>
      <c r="S8" s="35" t="n">
        <v>0.0575647178860598</v>
      </c>
      <c r="T8" s="35" t="n">
        <v>0.2395918172724432</v>
      </c>
      <c r="U8" s="35" t="n">
        <v>0.0349228398952305</v>
      </c>
      <c r="V8" s="35" t="n">
        <v>0.0833027821840636</v>
      </c>
      <c r="W8" s="35" t="n">
        <v>0.0302067660862354</v>
      </c>
      <c r="X8" s="35" t="n">
        <v>0.022257762456471</v>
      </c>
      <c r="Y8" s="35" t="n">
        <v>0.0276910239349138</v>
      </c>
      <c r="Z8" s="35" t="n">
        <v>0.0530181573856428</v>
      </c>
      <c r="AA8" s="35">
        <f>SUM(K8:Z8)</f>
        <v/>
      </c>
    </row>
    <row r="9">
      <c r="A9" s="8" t="inlineStr">
        <is>
          <t>OE12-3-40POS.raw Peak area</t>
        </is>
      </c>
      <c r="B9" s="8" t="inlineStr">
        <is>
          <t>Future_Control</t>
        </is>
      </c>
      <c r="C9" s="8" t="inlineStr">
        <is>
          <t>Future</t>
        </is>
      </c>
      <c r="D9" s="8" t="inlineStr">
        <is>
          <t>No_drought</t>
        </is>
      </c>
      <c r="E9" s="35" t="n">
        <v>0.1869777893915676</v>
      </c>
      <c r="F9" s="35" t="n">
        <v>0.0035388039777871</v>
      </c>
      <c r="G9" s="35" t="n">
        <v>0.2758693781192404</v>
      </c>
      <c r="H9" s="35" t="n">
        <v>0.2597894446999833</v>
      </c>
      <c r="I9" s="35" t="n">
        <v>0.1507069269096787</v>
      </c>
      <c r="J9" s="35" t="n">
        <v>0.1231176569017421</v>
      </c>
      <c r="K9" s="35" t="n">
        <v>0.108854568180656</v>
      </c>
      <c r="L9" s="35" t="n">
        <v>0.0350490889542675</v>
      </c>
      <c r="M9" s="35" t="n">
        <v>0.0430741322566441</v>
      </c>
      <c r="N9" s="35" t="n">
        <v>0.0032788510191316</v>
      </c>
      <c r="O9" s="35" t="n">
        <v>0.0002599529586555</v>
      </c>
      <c r="P9" s="35" t="n">
        <v>0.0274251250647727</v>
      </c>
      <c r="Q9" s="35" t="n">
        <v>0.1934106232844906</v>
      </c>
      <c r="R9" s="35" t="n">
        <v>0.0550336297699771</v>
      </c>
      <c r="S9" s="35" t="n">
        <v>0.0589708198641372</v>
      </c>
      <c r="T9" s="35" t="n">
        <v>0.2008186248358461</v>
      </c>
      <c r="U9" s="35" t="n">
        <v>0.0345074396608979</v>
      </c>
      <c r="V9" s="35" t="n">
        <v>0.08079877798606409</v>
      </c>
      <c r="W9" s="35" t="n">
        <v>0.0354007092627167</v>
      </c>
      <c r="X9" s="35" t="n">
        <v>0.041009052973671</v>
      </c>
      <c r="Y9" s="35" t="n">
        <v>0.0397405908834999</v>
      </c>
      <c r="Z9" s="35" t="n">
        <v>0.0423680130445712</v>
      </c>
      <c r="AA9" s="35">
        <f>SUM(K9:Z9)</f>
        <v/>
      </c>
    </row>
    <row r="10">
      <c r="A10" s="8" t="inlineStr">
        <is>
          <t>OE12-3-27POS.raw Peak area</t>
        </is>
      </c>
      <c r="B10" s="8" t="inlineStr">
        <is>
          <t>Future_Drought</t>
        </is>
      </c>
      <c r="C10" s="8" t="inlineStr">
        <is>
          <t>Future</t>
        </is>
      </c>
      <c r="D10" s="8" t="inlineStr">
        <is>
          <t>Drought</t>
        </is>
      </c>
      <c r="E10" s="35" t="n">
        <v>0.200305714677684</v>
      </c>
      <c r="F10" s="35" t="n">
        <v>0.002085238547277</v>
      </c>
      <c r="G10" s="35" t="n">
        <v>0.2750876138580111</v>
      </c>
      <c r="H10" s="35" t="n">
        <v>0.2771838629840608</v>
      </c>
      <c r="I10" s="35" t="n">
        <v>0.1451297607133738</v>
      </c>
      <c r="J10" s="35" t="n">
        <v>0.1002078092195927</v>
      </c>
      <c r="K10" s="35" t="n">
        <v>0.1488925633667857</v>
      </c>
      <c r="L10" s="35" t="n">
        <v>0.0292378692944284</v>
      </c>
      <c r="M10" s="35" t="n">
        <v>0.0221752820164699</v>
      </c>
      <c r="N10" s="35" t="n">
        <v>0.0017174575350786</v>
      </c>
      <c r="O10" s="35" t="n">
        <v>0.0003677810121984</v>
      </c>
      <c r="P10" s="35" t="n">
        <v>0.0396939422763689</v>
      </c>
      <c r="Q10" s="35" t="n">
        <v>0.1819267887661846</v>
      </c>
      <c r="R10" s="35" t="n">
        <v>0.0534668828154576</v>
      </c>
      <c r="S10" s="35" t="n">
        <v>0.0613363521536073</v>
      </c>
      <c r="T10" s="35" t="n">
        <v>0.2158475108304535</v>
      </c>
      <c r="U10" s="35" t="n">
        <v>0.04719610708215</v>
      </c>
      <c r="V10" s="35" t="n">
        <v>0.0498870219054878</v>
      </c>
      <c r="W10" s="35" t="n">
        <v>0.048046631725736</v>
      </c>
      <c r="X10" s="35" t="n">
        <v>0.022808458994907</v>
      </c>
      <c r="Y10" s="35" t="n">
        <v>0.027451975718092</v>
      </c>
      <c r="Z10" s="35" t="n">
        <v>0.0499473745065937</v>
      </c>
      <c r="AA10" s="35">
        <f>SUM(K10:Z10)</f>
        <v/>
      </c>
    </row>
    <row r="11">
      <c r="A11" s="8" t="inlineStr">
        <is>
          <t>OE12-3-28POS.raw Peak area</t>
        </is>
      </c>
      <c r="B11" s="8" t="inlineStr">
        <is>
          <t>Ambient_Drought</t>
        </is>
      </c>
      <c r="C11" s="8" t="inlineStr">
        <is>
          <t>Ambient</t>
        </is>
      </c>
      <c r="D11" s="8" t="inlineStr">
        <is>
          <t>Drought</t>
        </is>
      </c>
      <c r="E11" s="35" t="n">
        <v>0.199454251291804</v>
      </c>
      <c r="F11" s="35" t="n">
        <v>0.0021313364555035</v>
      </c>
      <c r="G11" s="35" t="n">
        <v>0.2337230411092076</v>
      </c>
      <c r="H11" s="35" t="n">
        <v>0.2721782382383478</v>
      </c>
      <c r="I11" s="35" t="n">
        <v>0.1775960357161036</v>
      </c>
      <c r="J11" s="35" t="n">
        <v>0.1149170971890326</v>
      </c>
      <c r="K11" s="35" t="n">
        <v>0.115177094256292</v>
      </c>
      <c r="L11" s="35" t="n">
        <v>0.0499358288562174</v>
      </c>
      <c r="M11" s="35" t="n">
        <v>0.0343413281792946</v>
      </c>
      <c r="N11" s="35" t="n">
        <v>0.0019617094016465</v>
      </c>
      <c r="O11" s="35" t="n">
        <v>0.000169627053857</v>
      </c>
      <c r="P11" s="35" t="n">
        <v>0.0464337553897028</v>
      </c>
      <c r="Q11" s="35" t="n">
        <v>0.1412773366083337</v>
      </c>
      <c r="R11" s="35" t="n">
        <v>0.0460119491111711</v>
      </c>
      <c r="S11" s="35" t="n">
        <v>0.0760758646840107</v>
      </c>
      <c r="T11" s="35" t="n">
        <v>0.1961023735543371</v>
      </c>
      <c r="U11" s="35" t="n">
        <v>0.050660993444079</v>
      </c>
      <c r="V11" s="35" t="n">
        <v>0.0785736906510637</v>
      </c>
      <c r="W11" s="35" t="n">
        <v>0.0483613516209609</v>
      </c>
      <c r="X11" s="35" t="n">
        <v>0.0173765311611224</v>
      </c>
      <c r="Y11" s="35" t="n">
        <v>0.0440681683037149</v>
      </c>
      <c r="Z11" s="35" t="n">
        <v>0.0534723977241953</v>
      </c>
      <c r="AA11" s="35">
        <f>SUM(K11:Z11)</f>
        <v/>
      </c>
    </row>
    <row r="12">
      <c r="A12" s="8" t="inlineStr">
        <is>
          <t>OE12-3-35POS.raw Peak area</t>
        </is>
      </c>
      <c r="B12" s="8" t="inlineStr">
        <is>
          <t>Future_Control</t>
        </is>
      </c>
      <c r="C12" s="8" t="inlineStr">
        <is>
          <t>Future</t>
        </is>
      </c>
      <c r="D12" s="8" t="inlineStr">
        <is>
          <t>No_drought</t>
        </is>
      </c>
      <c r="E12" s="35" t="n">
        <v>0.2165287989909257</v>
      </c>
      <c r="F12" s="35" t="n">
        <v>0.0036313228570378</v>
      </c>
      <c r="G12" s="35" t="n">
        <v>0.252395927188564</v>
      </c>
      <c r="H12" s="35" t="n">
        <v>0.2830043877011875</v>
      </c>
      <c r="I12" s="35" t="n">
        <v>0.1404137638251293</v>
      </c>
      <c r="J12" s="35" t="n">
        <v>0.104025799437155</v>
      </c>
      <c r="K12" s="35" t="n">
        <v>0.135883061608235</v>
      </c>
      <c r="L12" s="35" t="n">
        <v>0.0409526717657695</v>
      </c>
      <c r="M12" s="35" t="n">
        <v>0.0396930656169212</v>
      </c>
      <c r="N12" s="35" t="n">
        <v>0.0032527875188222</v>
      </c>
      <c r="O12" s="35" t="n">
        <v>0.0003785353382156</v>
      </c>
      <c r="P12" s="35" t="n">
        <v>0.0400932656297708</v>
      </c>
      <c r="Q12" s="35" t="n">
        <v>0.1619362392112618</v>
      </c>
      <c r="R12" s="35" t="n">
        <v>0.0503664223475314</v>
      </c>
      <c r="S12" s="35" t="n">
        <v>0.055107058928008</v>
      </c>
      <c r="T12" s="35" t="n">
        <v>0.2278973287731795</v>
      </c>
      <c r="U12" s="35" t="n">
        <v>0.0359533537559538</v>
      </c>
      <c r="V12" s="35" t="n">
        <v>0.07990485499201511</v>
      </c>
      <c r="W12" s="35" t="n">
        <v>0.0245555550771604</v>
      </c>
      <c r="X12" s="35" t="n">
        <v>0.0223233379067246</v>
      </c>
      <c r="Y12" s="35" t="n">
        <v>0.0373503559635015</v>
      </c>
      <c r="Z12" s="35" t="n">
        <v>0.0443521055669289</v>
      </c>
      <c r="AA12" s="35">
        <f>SUM(K12:Z12)</f>
        <v/>
      </c>
    </row>
    <row r="13">
      <c r="A13" s="8" t="inlineStr">
        <is>
          <t>OE12-3-36POS.raw Peak area</t>
        </is>
      </c>
      <c r="B13" s="8" t="inlineStr">
        <is>
          <t>Ambient_Control</t>
        </is>
      </c>
      <c r="C13" s="8" t="inlineStr">
        <is>
          <t>Ambient</t>
        </is>
      </c>
      <c r="D13" s="8" t="inlineStr">
        <is>
          <t>No_drought</t>
        </is>
      </c>
      <c r="E13" s="35" t="n">
        <v>0.1674684542632652</v>
      </c>
      <c r="F13" s="35" t="n">
        <v>0.0037117737312113</v>
      </c>
      <c r="G13" s="35" t="n">
        <v>0.3299487416663695</v>
      </c>
      <c r="H13" s="35" t="n">
        <v>0.2449528137958213</v>
      </c>
      <c r="I13" s="35" t="n">
        <v>0.1418847745553932</v>
      </c>
      <c r="J13" s="35" t="n">
        <v>0.112033441987939</v>
      </c>
      <c r="K13" s="35" t="n">
        <v>0.1060704486172958</v>
      </c>
      <c r="L13" s="35" t="n">
        <v>0.0303890454842048</v>
      </c>
      <c r="M13" s="35" t="n">
        <v>0.0310089601617646</v>
      </c>
      <c r="N13" s="35" t="n">
        <v>0.0033086367421052</v>
      </c>
      <c r="O13" s="35" t="n">
        <v>0.0004031369891061</v>
      </c>
      <c r="P13" s="35" t="n">
        <v>0.0416284378278746</v>
      </c>
      <c r="Q13" s="35" t="n">
        <v>0.2324533009916962</v>
      </c>
      <c r="R13" s="35" t="n">
        <v>0.0558670028467987</v>
      </c>
      <c r="S13" s="35" t="n">
        <v>0.0592501273388537</v>
      </c>
      <c r="T13" s="35" t="n">
        <v>0.1857026864569676</v>
      </c>
      <c r="U13" s="35" t="n">
        <v>0.0269234779427291</v>
      </c>
      <c r="V13" s="35" t="n">
        <v>0.079014138737506</v>
      </c>
      <c r="W13" s="35" t="n">
        <v>0.0359471578751581</v>
      </c>
      <c r="X13" s="35" t="n">
        <v>0.0361167711478181</v>
      </c>
      <c r="Y13" s="35" t="n">
        <v>0.0336537351235414</v>
      </c>
      <c r="Z13" s="35" t="n">
        <v>0.0422629357165795</v>
      </c>
      <c r="AA13" s="35">
        <f>SUM(K13:Z13)</f>
        <v/>
      </c>
    </row>
    <row r="14">
      <c r="A14" s="8" t="inlineStr">
        <is>
          <t>OE12-3-52POS.raw Peak area</t>
        </is>
      </c>
      <c r="B14" s="8" t="inlineStr">
        <is>
          <t>Future_Control</t>
        </is>
      </c>
      <c r="C14" s="8" t="inlineStr">
        <is>
          <t>Future</t>
        </is>
      </c>
      <c r="D14" s="8" t="inlineStr">
        <is>
          <t>No_drought</t>
        </is>
      </c>
      <c r="E14" s="35" t="n">
        <v>0.1607452254681314</v>
      </c>
      <c r="F14" s="35" t="n">
        <v>0.0022422796095223</v>
      </c>
      <c r="G14" s="35" t="n">
        <v>0.306792244354349</v>
      </c>
      <c r="H14" s="35" t="n">
        <v>0.3245359069624986</v>
      </c>
      <c r="I14" s="35" t="n">
        <v>0.1159988919603373</v>
      </c>
      <c r="J14" s="35" t="n">
        <v>0.0896854516451608</v>
      </c>
      <c r="K14" s="35" t="n">
        <v>0.1037088590144431</v>
      </c>
      <c r="L14" s="35" t="n">
        <v>0.0314637455074459</v>
      </c>
      <c r="M14" s="35" t="n">
        <v>0.0255726209462424</v>
      </c>
      <c r="N14" s="35" t="n">
        <v>0.0019722082899236</v>
      </c>
      <c r="O14" s="35" t="n">
        <v>0.0002700713195987</v>
      </c>
      <c r="P14" s="35" t="n">
        <v>0.0617391807654319</v>
      </c>
      <c r="Q14" s="35" t="n">
        <v>0.1945521056561677</v>
      </c>
      <c r="R14" s="35" t="n">
        <v>0.0505009579327494</v>
      </c>
      <c r="S14" s="35" t="n">
        <v>0.0723773048584562</v>
      </c>
      <c r="T14" s="35" t="n">
        <v>0.2521586021040424</v>
      </c>
      <c r="U14" s="35" t="n">
        <v>0.0342299987015975</v>
      </c>
      <c r="V14" s="35" t="n">
        <v>0.0518895899538075</v>
      </c>
      <c r="W14" s="35" t="n">
        <v>0.0298793033049323</v>
      </c>
      <c r="X14" s="35" t="n">
        <v>0.0221266908141738</v>
      </c>
      <c r="Y14" s="35" t="n">
        <v>0.0288032233795611</v>
      </c>
      <c r="Z14" s="35" t="n">
        <v>0.0387555374514259</v>
      </c>
      <c r="AA14" s="35">
        <f>SUM(K14:Z14)</f>
        <v/>
      </c>
    </row>
  </sheetData>
  <mergeCells count="1">
    <mergeCell ref="A1:AA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outlineLevelCol="0"/>
  <cols>
    <col width="118" customWidth="1" min="1" max="1"/>
  </cols>
  <sheetData>
    <row r="1">
      <c r="A1" s="32" t="inlineStr">
        <is>
          <t>Supplementary Table S9. Computational annotation coverage by strict phylum (SIRIUS / CANOPUS / CSI:FingerID / MSNovelist)</t>
        </is>
      </c>
    </row>
    <row r="2">
      <c r="A2" s="11" t="inlineStr">
        <is>
          <t>Per-phylum coverage of the computational annotation pipeline over the strict biomarker set (11371 positive-mode and 5697 negative-mode biomarkers, 16 phyla each). SIRIUS predicts a molecular formula; CANOPUS assigns an NPClassifier / ClassyFire compound class; CSI:FingerID proposes a database structure; MSNovelist proposes a de novo structure; DreaMS provides spectral-neighbour evidence.</t>
        </is>
      </c>
    </row>
    <row r="3">
      <c r="A3" s="11" t="inlineStr">
        <is>
          <t>Denominator is all strict biomarkers in each phylum. Rates are live percentage formulas (n / n biomarkers). 'Usable MS2' is the fraction with a usable MS2 spectrum; SIRIUS additionally requires precursor m/z &lt;= 850 Da.</t>
        </is>
      </c>
    </row>
    <row r="4">
      <c r="A4" s="11" t="inlineStr">
        <is>
          <t>Coverage note: the SIRIUS/CANOPUS annotation is now COMPLETE for the SIRIUS-eligible strict biomarkers. An earlier submission gap - only ~52% of positive-mode and ~69% of negative-mode biomarkers had been submitted to SIRIUS, leaving Bacteria and Fungi near 3% and 10% - was closed by a dedicated gap-fill run of the 2,209 positive-mode and 80 negative-mode eligible-unsubmitted features (usable MS2 and m/z &lt;= 850; LISC jobs 5862224 for formula/CANOPUS/de-novo and 5869613 for CSI:FingerID structures over a BIO+PubChem database union, 2026-08-13). Positive-mode SIRIUS-formula coverage consequently rose from 5,865 to 8,004 and CANOPUS from 5,325 to 7,336. Remaining non-coverage reflects genuine ineligibility (no usable MS2, or precursor m/z &gt; 850 Da, which is SIRIUS's hard limit), not a submission shortfall; the per-phylum rates below are complete.</t>
        </is>
      </c>
    </row>
    <row r="5">
      <c r="A5" s="11" t="inlineStr">
        <is>
          <t>Sheets: 'Coverage_overall' (pipeline-step totals for both modes); 'Coverage_by_phylum_POS' / '_NEG' (per-phylum counts and rates); 'NPC_pathway_by_phylum_POS' / '_NEG' (NPClassifier pathway x phylum matrix over CANOPUS-classified features).</t>
        </is>
      </c>
    </row>
    <row r="6">
      <c r="A6" s="11" t="inlineStr">
        <is>
          <t>Kingdom labels follow the locked ecological_group vocabulary (Viridiplantae, Protists). Values are drawn from the integrated strict annotation evidence, so this table is consistent with Figure 2, Table S5 and Supplementary Figure 7 by construction.</t>
        </is>
      </c>
    </row>
    <row r="7">
      <c r="A7" s="11" t="inlineStr">
        <is>
          <t>Overall positive mode: SIRIUS formula 8004 (70.4%), CANOPUS 7336 (64.5%). Overall negative mode: SIRIUS 3914 (68.7%), CANOPUS 3531 (62.0%).</t>
        </is>
      </c>
    </row>
    <row r="8">
      <c r="A8" s="33" t="inlineStr">
        <is>
          <t>Source: annotation/annotation_evidence_{pos,neg}.csv, integrating LISC SIRIUS/CANOPUS jobs 5800445 (POS) and 5802297 (NEG) plus the 2026-08-13 gap-fill jobs 5862224 (formula/CANOPUS/de-novo) and 5869613 (CSI:FingerID structures) with the historical full-atlas SIRIUS cache via build_strict_annotation_evidence.py. Producer: paper2_repro/scripts/build_table_s9_strict16.py.</t>
        </is>
      </c>
    </row>
  </sheetData>
  <mergeCells count="8">
    <mergeCell ref="A4:H4"/>
    <mergeCell ref="A3:H3"/>
    <mergeCell ref="A5:H5"/>
    <mergeCell ref="A7:H7"/>
    <mergeCell ref="A2:H2"/>
    <mergeCell ref="A1:H1"/>
    <mergeCell ref="A8:H8"/>
    <mergeCell ref="A6:H6"/>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outlineLevelCol="0"/>
  <cols>
    <col width="30" customWidth="1" min="1" max="1"/>
    <col width="14" customWidth="1" min="2" max="2"/>
    <col width="10" customWidth="1" min="3" max="3"/>
    <col width="14" customWidth="1" min="4" max="4"/>
    <col width="10" customWidth="1" min="5" max="5"/>
  </cols>
  <sheetData>
    <row r="1">
      <c r="A1" s="34" t="inlineStr">
        <is>
          <t>Supplementary Table S9a. Annotation coverage overall (positive and negative mode)</t>
        </is>
      </c>
    </row>
    <row r="2">
      <c r="A2" s="12" t="inlineStr">
        <is>
          <t>Pipeline step</t>
        </is>
      </c>
      <c r="B2" s="12" t="inlineStr">
        <is>
          <t>POS features</t>
        </is>
      </c>
      <c r="C2" s="12" t="inlineStr">
        <is>
          <t>POS rate</t>
        </is>
      </c>
      <c r="D2" s="12" t="inlineStr">
        <is>
          <t>NEG features</t>
        </is>
      </c>
      <c r="E2" s="12" t="inlineStr">
        <is>
          <t>NEG rate</t>
        </is>
      </c>
    </row>
    <row r="3">
      <c r="A3" s="36" t="inlineStr">
        <is>
          <t>Strict biomarkers (input)</t>
        </is>
      </c>
      <c r="B3" s="36" t="n">
        <v>11371</v>
      </c>
      <c r="D3" s="36" t="n">
        <v>5697</v>
      </c>
    </row>
    <row r="4">
      <c r="A4" s="8" t="inlineStr">
        <is>
          <t>Usable MS2</t>
        </is>
      </c>
      <c r="B4" s="8" t="n">
        <v>10871</v>
      </c>
      <c r="C4" s="40">
        <f>B4/$B$3</f>
        <v/>
      </c>
      <c r="D4" s="8" t="n">
        <v>5695</v>
      </c>
      <c r="E4" s="40">
        <f>D4/$D$3</f>
        <v/>
      </c>
    </row>
    <row r="5">
      <c r="A5" s="8" t="inlineStr">
        <is>
          <t>SIRIUS molecular formula</t>
        </is>
      </c>
      <c r="B5" s="8" t="n">
        <v>8004</v>
      </c>
      <c r="C5" s="40">
        <f>B5/$B$3</f>
        <v/>
      </c>
      <c r="D5" s="8" t="n">
        <v>3914</v>
      </c>
      <c r="E5" s="40">
        <f>D5/$D$3</f>
        <v/>
      </c>
    </row>
    <row r="6">
      <c r="A6" s="8" t="inlineStr">
        <is>
          <t>CANOPUS compound class</t>
        </is>
      </c>
      <c r="B6" s="8" t="n">
        <v>7336</v>
      </c>
      <c r="C6" s="40">
        <f>B6/$B$3</f>
        <v/>
      </c>
      <c r="D6" s="8" t="n">
        <v>3531</v>
      </c>
      <c r="E6" s="40">
        <f>D6/$D$3</f>
        <v/>
      </c>
    </row>
    <row r="7">
      <c r="A7" s="8" t="inlineStr">
        <is>
          <t>CSI:FingerID structure</t>
        </is>
      </c>
      <c r="B7" s="8" t="n">
        <v>7199</v>
      </c>
      <c r="C7" s="40">
        <f>B7/$B$3</f>
        <v/>
      </c>
      <c r="D7" s="8" t="n">
        <v>3352</v>
      </c>
      <c r="E7" s="40">
        <f>D7/$D$3</f>
        <v/>
      </c>
    </row>
    <row r="8">
      <c r="A8" s="8" t="inlineStr">
        <is>
          <t>MSNovelist de novo structure</t>
        </is>
      </c>
      <c r="B8" s="8" t="n">
        <v>7096</v>
      </c>
      <c r="C8" s="40">
        <f>B8/$B$3</f>
        <v/>
      </c>
      <c r="D8" s="8" t="n">
        <v>3377</v>
      </c>
      <c r="E8" s="40">
        <f>D8/$D$3</f>
        <v/>
      </c>
    </row>
    <row r="9">
      <c r="A9" s="8" t="inlineStr">
        <is>
          <t>DreaMS spectral neighbour</t>
        </is>
      </c>
      <c r="B9" s="8" t="n">
        <v>7095</v>
      </c>
      <c r="C9" s="40">
        <f>B9/$B$3</f>
        <v/>
      </c>
      <c r="D9" s="8" t="n">
        <v>5695</v>
      </c>
      <c r="E9" s="40">
        <f>D9/$D$3</f>
        <v/>
      </c>
    </row>
  </sheetData>
  <mergeCells count="1">
    <mergeCell ref="A1:E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outlineLevelCol="0"/>
  <cols>
    <col width="16" customWidth="1" min="1" max="1"/>
    <col width="14" customWidth="1" min="2" max="2"/>
    <col width="12" customWidth="1" min="3" max="3"/>
    <col width="11" customWidth="1" min="4" max="4"/>
    <col width="8" customWidth="1" min="5" max="5"/>
    <col width="11" customWidth="1" min="6" max="6"/>
    <col width="8" customWidth="1" min="7" max="7"/>
    <col width="11" customWidth="1" min="8" max="8"/>
    <col width="8" customWidth="1" min="9" max="9"/>
    <col width="11" customWidth="1" min="10" max="10"/>
    <col width="8" customWidth="1" min="11" max="11"/>
    <col width="11" customWidth="1" min="12" max="12"/>
    <col width="8" customWidth="1" min="13" max="13"/>
    <col width="11" customWidth="1" min="14" max="14"/>
    <col width="8" customWidth="1" min="15" max="15"/>
  </cols>
  <sheetData>
    <row r="1">
      <c r="A1" s="34" t="inlineStr">
        <is>
          <t>Supplementary Table S9b. Positive-mode annotation coverage by strict phylum</t>
        </is>
      </c>
    </row>
    <row r="2">
      <c r="A2" s="12" t="inlineStr">
        <is>
          <t>Phylum</t>
        </is>
      </c>
      <c r="B2" s="12" t="inlineStr">
        <is>
          <t>Kingdom</t>
        </is>
      </c>
      <c r="C2" s="12" t="inlineStr">
        <is>
          <t>n biomarkers</t>
        </is>
      </c>
      <c r="D2" s="12" t="inlineStr">
        <is>
          <t>Usable MS2 (n)</t>
        </is>
      </c>
      <c r="E2" s="12" t="inlineStr">
        <is>
          <t>Usable MS2 %</t>
        </is>
      </c>
      <c r="F2" s="12" t="inlineStr">
        <is>
          <t>SIRIUS molecular formula (n)</t>
        </is>
      </c>
      <c r="G2" s="12" t="inlineStr">
        <is>
          <t>SIRIUS molecular formula %</t>
        </is>
      </c>
      <c r="H2" s="12" t="inlineStr">
        <is>
          <t>CANOPUS compound class (n)</t>
        </is>
      </c>
      <c r="I2" s="12" t="inlineStr">
        <is>
          <t>CANOPUS compound class %</t>
        </is>
      </c>
      <c r="J2" s="12" t="inlineStr">
        <is>
          <t>CSI:FingerID structure (n)</t>
        </is>
      </c>
      <c r="K2" s="12" t="inlineStr">
        <is>
          <t>CSI:FingerID structure %</t>
        </is>
      </c>
      <c r="L2" s="12" t="inlineStr">
        <is>
          <t>MSNovelist de novo structure (n)</t>
        </is>
      </c>
      <c r="M2" s="12" t="inlineStr">
        <is>
          <t>MSNovelist de novo structure %</t>
        </is>
      </c>
      <c r="N2" s="12" t="inlineStr">
        <is>
          <t>DreaMS spectral neighbour (n)</t>
        </is>
      </c>
      <c r="O2" s="12" t="inlineStr">
        <is>
          <t>DreaMS spectral neighbour %</t>
        </is>
      </c>
    </row>
    <row r="3">
      <c r="A3" s="36" t="inlineStr">
        <is>
          <t>Actinomycetota</t>
        </is>
      </c>
      <c r="B3" s="8" t="inlineStr">
        <is>
          <t>Bacteria</t>
        </is>
      </c>
      <c r="C3" s="8" t="n">
        <v>274</v>
      </c>
      <c r="D3" s="8" t="n">
        <v>270</v>
      </c>
      <c r="E3" s="40">
        <f>D3/C3</f>
        <v/>
      </c>
      <c r="F3" s="8" t="n">
        <v>227</v>
      </c>
      <c r="G3" s="40">
        <f>F3/C3</f>
        <v/>
      </c>
      <c r="H3" s="8" t="n">
        <v>204</v>
      </c>
      <c r="I3" s="40">
        <f>H3/C3</f>
        <v/>
      </c>
      <c r="J3" s="8" t="n">
        <v>200</v>
      </c>
      <c r="K3" s="40">
        <f>J3/C3</f>
        <v/>
      </c>
      <c r="L3" s="8" t="n">
        <v>200</v>
      </c>
      <c r="M3" s="40">
        <f>L3/C3</f>
        <v/>
      </c>
      <c r="N3" s="8" t="n">
        <v>6</v>
      </c>
      <c r="O3" s="40">
        <f>N3/C3</f>
        <v/>
      </c>
    </row>
    <row r="4">
      <c r="A4" s="36" t="inlineStr">
        <is>
          <t>Bacillota</t>
        </is>
      </c>
      <c r="B4" s="8" t="inlineStr">
        <is>
          <t>Bacteria</t>
        </is>
      </c>
      <c r="C4" s="8" t="n">
        <v>1021</v>
      </c>
      <c r="D4" s="8" t="n">
        <v>990</v>
      </c>
      <c r="E4" s="40">
        <f>D4/C4</f>
        <v/>
      </c>
      <c r="F4" s="8" t="n">
        <v>838</v>
      </c>
      <c r="G4" s="40">
        <f>F4/C4</f>
        <v/>
      </c>
      <c r="H4" s="8" t="n">
        <v>785</v>
      </c>
      <c r="I4" s="40">
        <f>H4/C4</f>
        <v/>
      </c>
      <c r="J4" s="8" t="n">
        <v>777</v>
      </c>
      <c r="K4" s="40">
        <f>J4/C4</f>
        <v/>
      </c>
      <c r="L4" s="8" t="n">
        <v>767</v>
      </c>
      <c r="M4" s="40">
        <f>L4/C4</f>
        <v/>
      </c>
      <c r="N4" s="8" t="n">
        <v>104</v>
      </c>
      <c r="O4" s="40">
        <f>N4/C4</f>
        <v/>
      </c>
    </row>
    <row r="5">
      <c r="A5" s="36" t="inlineStr">
        <is>
          <t>Pseudomonadota</t>
        </is>
      </c>
      <c r="B5" s="8" t="inlineStr">
        <is>
          <t>Bacteria</t>
        </is>
      </c>
      <c r="C5" s="8" t="n">
        <v>413</v>
      </c>
      <c r="D5" s="8" t="n">
        <v>396</v>
      </c>
      <c r="E5" s="40">
        <f>D5/C5</f>
        <v/>
      </c>
      <c r="F5" s="8" t="n">
        <v>353</v>
      </c>
      <c r="G5" s="40">
        <f>F5/C5</f>
        <v/>
      </c>
      <c r="H5" s="8" t="n">
        <v>333</v>
      </c>
      <c r="I5" s="40">
        <f>H5/C5</f>
        <v/>
      </c>
      <c r="J5" s="8" t="n">
        <v>328</v>
      </c>
      <c r="K5" s="40">
        <f>J5/C5</f>
        <v/>
      </c>
      <c r="L5" s="8" t="n">
        <v>323</v>
      </c>
      <c r="M5" s="40">
        <f>L5/C5</f>
        <v/>
      </c>
      <c r="N5" s="8" t="n">
        <v>6</v>
      </c>
      <c r="O5" s="40">
        <f>N5/C5</f>
        <v/>
      </c>
    </row>
    <row r="6">
      <c r="A6" s="36" t="inlineStr">
        <is>
          <t>Methanobacteriota</t>
        </is>
      </c>
      <c r="B6" s="8" t="inlineStr">
        <is>
          <t>Archaea</t>
        </is>
      </c>
      <c r="C6" s="8" t="n">
        <v>1017</v>
      </c>
      <c r="D6" s="8" t="n">
        <v>1012</v>
      </c>
      <c r="E6" s="40">
        <f>D6/C6</f>
        <v/>
      </c>
      <c r="F6" s="8" t="n">
        <v>634</v>
      </c>
      <c r="G6" s="40">
        <f>F6/C6</f>
        <v/>
      </c>
      <c r="H6" s="8" t="n">
        <v>585</v>
      </c>
      <c r="I6" s="40">
        <f>H6/C6</f>
        <v/>
      </c>
      <c r="J6" s="8" t="n">
        <v>535</v>
      </c>
      <c r="K6" s="40">
        <f>J6/C6</f>
        <v/>
      </c>
      <c r="L6" s="8" t="n">
        <v>507</v>
      </c>
      <c r="M6" s="40">
        <f>L6/C6</f>
        <v/>
      </c>
      <c r="N6" s="8" t="n">
        <v>25</v>
      </c>
      <c r="O6" s="40">
        <f>N6/C6</f>
        <v/>
      </c>
    </row>
    <row r="7">
      <c r="A7" s="36" t="inlineStr">
        <is>
          <t>Thermoproteota</t>
        </is>
      </c>
      <c r="B7" s="8" t="inlineStr">
        <is>
          <t>Archaea</t>
        </is>
      </c>
      <c r="C7" s="8" t="n">
        <v>316</v>
      </c>
      <c r="D7" s="8" t="n">
        <v>315</v>
      </c>
      <c r="E7" s="40">
        <f>D7/C7</f>
        <v/>
      </c>
      <c r="F7" s="8" t="n">
        <v>201</v>
      </c>
      <c r="G7" s="40">
        <f>F7/C7</f>
        <v/>
      </c>
      <c r="H7" s="8" t="n">
        <v>170</v>
      </c>
      <c r="I7" s="40">
        <f>H7/C7</f>
        <v/>
      </c>
      <c r="J7" s="8" t="n">
        <v>166</v>
      </c>
      <c r="K7" s="40">
        <f>J7/C7</f>
        <v/>
      </c>
      <c r="L7" s="8" t="n">
        <v>159</v>
      </c>
      <c r="M7" s="40">
        <f>L7/C7</f>
        <v/>
      </c>
      <c r="N7" s="8" t="n">
        <v>99</v>
      </c>
      <c r="O7" s="40">
        <f>N7/C7</f>
        <v/>
      </c>
    </row>
    <row r="8">
      <c r="A8" s="36" t="inlineStr">
        <is>
          <t>Ascomycota</t>
        </is>
      </c>
      <c r="B8" s="8" t="inlineStr">
        <is>
          <t>Fungi</t>
        </is>
      </c>
      <c r="C8" s="8" t="n">
        <v>261</v>
      </c>
      <c r="D8" s="8" t="n">
        <v>253</v>
      </c>
      <c r="E8" s="40">
        <f>D8/C8</f>
        <v/>
      </c>
      <c r="F8" s="8" t="n">
        <v>226</v>
      </c>
      <c r="G8" s="40">
        <f>F8/C8</f>
        <v/>
      </c>
      <c r="H8" s="8" t="n">
        <v>215</v>
      </c>
      <c r="I8" s="40">
        <f>H8/C8</f>
        <v/>
      </c>
      <c r="J8" s="8" t="n">
        <v>217</v>
      </c>
      <c r="K8" s="40">
        <f>J8/C8</f>
        <v/>
      </c>
      <c r="L8" s="8" t="n">
        <v>217</v>
      </c>
      <c r="M8" s="40">
        <f>L8/C8</f>
        <v/>
      </c>
      <c r="N8" s="8" t="n">
        <v>39</v>
      </c>
      <c r="O8" s="40">
        <f>N8/C8</f>
        <v/>
      </c>
    </row>
    <row r="9">
      <c r="A9" s="36" t="inlineStr">
        <is>
          <t>Basidiomycota</t>
        </is>
      </c>
      <c r="B9" s="8" t="inlineStr">
        <is>
          <t>Fungi</t>
        </is>
      </c>
      <c r="C9" s="8" t="n">
        <v>441</v>
      </c>
      <c r="D9" s="8" t="n">
        <v>413</v>
      </c>
      <c r="E9" s="40">
        <f>D9/C9</f>
        <v/>
      </c>
      <c r="F9" s="8" t="n">
        <v>388</v>
      </c>
      <c r="G9" s="40">
        <f>F9/C9</f>
        <v/>
      </c>
      <c r="H9" s="8" t="n">
        <v>368</v>
      </c>
      <c r="I9" s="40">
        <f>H9/C9</f>
        <v/>
      </c>
      <c r="J9" s="8" t="n">
        <v>363</v>
      </c>
      <c r="K9" s="40">
        <f>J9/C9</f>
        <v/>
      </c>
      <c r="L9" s="8" t="n">
        <v>362</v>
      </c>
      <c r="M9" s="40">
        <f>L9/C9</f>
        <v/>
      </c>
      <c r="N9" s="8" t="n">
        <v>40</v>
      </c>
      <c r="O9" s="40">
        <f>N9/C9</f>
        <v/>
      </c>
    </row>
    <row r="10">
      <c r="A10" s="36" t="inlineStr">
        <is>
          <t>Mucoromycota</t>
        </is>
      </c>
      <c r="B10" s="8" t="inlineStr">
        <is>
          <t>Fungi</t>
        </is>
      </c>
      <c r="C10" s="8" t="n">
        <v>32</v>
      </c>
      <c r="D10" s="8" t="n">
        <v>32</v>
      </c>
      <c r="E10" s="40">
        <f>D10/C10</f>
        <v/>
      </c>
      <c r="F10" s="8" t="n">
        <v>28</v>
      </c>
      <c r="G10" s="40">
        <f>F10/C10</f>
        <v/>
      </c>
      <c r="H10" s="8" t="n">
        <v>27</v>
      </c>
      <c r="I10" s="40">
        <f>H10/C10</f>
        <v/>
      </c>
      <c r="J10" s="8" t="n">
        <v>23</v>
      </c>
      <c r="K10" s="40">
        <f>J10/C10</f>
        <v/>
      </c>
      <c r="L10" s="8" t="n">
        <v>25</v>
      </c>
      <c r="M10" s="40">
        <f>L10/C10</f>
        <v/>
      </c>
      <c r="N10" s="8" t="n">
        <v>4</v>
      </c>
      <c r="O10" s="40">
        <f>N10/C10</f>
        <v/>
      </c>
    </row>
    <row r="11">
      <c r="A11" s="36" t="inlineStr">
        <is>
          <t>Chlorophyta</t>
        </is>
      </c>
      <c r="B11" s="8" t="inlineStr">
        <is>
          <t>Viridiplantae</t>
        </is>
      </c>
      <c r="C11" s="8" t="n">
        <v>453</v>
      </c>
      <c r="D11" s="8" t="n">
        <v>417</v>
      </c>
      <c r="E11" s="40">
        <f>D11/C11</f>
        <v/>
      </c>
      <c r="F11" s="8" t="n">
        <v>243</v>
      </c>
      <c r="G11" s="40">
        <f>F11/C11</f>
        <v/>
      </c>
      <c r="H11" s="8" t="n">
        <v>213</v>
      </c>
      <c r="I11" s="40">
        <f>H11/C11</f>
        <v/>
      </c>
      <c r="J11" s="8" t="n">
        <v>209</v>
      </c>
      <c r="K11" s="40">
        <f>J11/C11</f>
        <v/>
      </c>
      <c r="L11" s="8" t="n">
        <v>207</v>
      </c>
      <c r="M11" s="40">
        <f>L11/C11</f>
        <v/>
      </c>
      <c r="N11" s="8" t="n">
        <v>353</v>
      </c>
      <c r="O11" s="40">
        <f>N11/C11</f>
        <v/>
      </c>
    </row>
    <row r="12">
      <c r="A12" s="36" t="inlineStr">
        <is>
          <t>Streptophyta</t>
        </is>
      </c>
      <c r="B12" s="8" t="inlineStr">
        <is>
          <t>Viridiplantae</t>
        </is>
      </c>
      <c r="C12" s="8" t="n">
        <v>5168</v>
      </c>
      <c r="D12" s="8" t="n">
        <v>4917</v>
      </c>
      <c r="E12" s="40">
        <f>D12/C12</f>
        <v/>
      </c>
      <c r="F12" s="8" t="n">
        <v>3752</v>
      </c>
      <c r="G12" s="40">
        <f>F12/C12</f>
        <v/>
      </c>
      <c r="H12" s="8" t="n">
        <v>3405</v>
      </c>
      <c r="I12" s="40">
        <f>H12/C12</f>
        <v/>
      </c>
      <c r="J12" s="8" t="n">
        <v>3379</v>
      </c>
      <c r="K12" s="40">
        <f>J12/C12</f>
        <v/>
      </c>
      <c r="L12" s="8" t="n">
        <v>3333</v>
      </c>
      <c r="M12" s="40">
        <f>L12/C12</f>
        <v/>
      </c>
      <c r="N12" s="8" t="n">
        <v>4888</v>
      </c>
      <c r="O12" s="40">
        <f>N12/C12</f>
        <v/>
      </c>
    </row>
    <row r="13">
      <c r="A13" s="36" t="inlineStr">
        <is>
          <t>Arthropoda</t>
        </is>
      </c>
      <c r="B13" s="8" t="inlineStr">
        <is>
          <t>Animalia</t>
        </is>
      </c>
      <c r="C13" s="8" t="n">
        <v>382</v>
      </c>
      <c r="D13" s="8" t="n">
        <v>357</v>
      </c>
      <c r="E13" s="40">
        <f>D13/C13</f>
        <v/>
      </c>
      <c r="F13" s="8" t="n">
        <v>323</v>
      </c>
      <c r="G13" s="40">
        <f>F13/C13</f>
        <v/>
      </c>
      <c r="H13" s="8" t="n">
        <v>310</v>
      </c>
      <c r="I13" s="40">
        <f>H13/C13</f>
        <v/>
      </c>
      <c r="J13" s="8" t="n">
        <v>303</v>
      </c>
      <c r="K13" s="40">
        <f>J13/C13</f>
        <v/>
      </c>
      <c r="L13" s="8" t="n">
        <v>304</v>
      </c>
      <c r="M13" s="40">
        <f>L13/C13</f>
        <v/>
      </c>
      <c r="N13" s="8" t="n">
        <v>226</v>
      </c>
      <c r="O13" s="40">
        <f>N13/C13</f>
        <v/>
      </c>
    </row>
    <row r="14">
      <c r="A14" s="36" t="inlineStr">
        <is>
          <t>Mollusca</t>
        </is>
      </c>
      <c r="B14" s="8" t="inlineStr">
        <is>
          <t>Animalia</t>
        </is>
      </c>
      <c r="C14" s="8" t="n">
        <v>455</v>
      </c>
      <c r="D14" s="8" t="n">
        <v>431</v>
      </c>
      <c r="E14" s="40">
        <f>D14/C14</f>
        <v/>
      </c>
      <c r="F14" s="8" t="n">
        <v>235</v>
      </c>
      <c r="G14" s="40">
        <f>F14/C14</f>
        <v/>
      </c>
      <c r="H14" s="8" t="n">
        <v>218</v>
      </c>
      <c r="I14" s="40">
        <f>H14/C14</f>
        <v/>
      </c>
      <c r="J14" s="8" t="n">
        <v>210</v>
      </c>
      <c r="K14" s="40">
        <f>J14/C14</f>
        <v/>
      </c>
      <c r="L14" s="8" t="n">
        <v>211</v>
      </c>
      <c r="M14" s="40">
        <f>L14/C14</f>
        <v/>
      </c>
      <c r="N14" s="8" t="n">
        <v>275</v>
      </c>
      <c r="O14" s="40">
        <f>N14/C14</f>
        <v/>
      </c>
    </row>
    <row r="15">
      <c r="A15" s="36" t="inlineStr">
        <is>
          <t>Nematoda</t>
        </is>
      </c>
      <c r="B15" s="8" t="inlineStr">
        <is>
          <t>Animalia</t>
        </is>
      </c>
      <c r="C15" s="8" t="n">
        <v>422</v>
      </c>
      <c r="D15" s="8" t="n">
        <v>390</v>
      </c>
      <c r="E15" s="40">
        <f>D15/C15</f>
        <v/>
      </c>
      <c r="F15" s="8" t="n">
        <v>144</v>
      </c>
      <c r="G15" s="40">
        <f>F15/C15</f>
        <v/>
      </c>
      <c r="H15" s="8" t="n">
        <v>127</v>
      </c>
      <c r="I15" s="40">
        <f>H15/C15</f>
        <v/>
      </c>
      <c r="J15" s="8" t="n">
        <v>124</v>
      </c>
      <c r="K15" s="40">
        <f>J15/C15</f>
        <v/>
      </c>
      <c r="L15" s="8" t="n">
        <v>115</v>
      </c>
      <c r="M15" s="40">
        <f>L15/C15</f>
        <v/>
      </c>
      <c r="N15" s="8" t="n">
        <v>379</v>
      </c>
      <c r="O15" s="40">
        <f>N15/C15</f>
        <v/>
      </c>
    </row>
    <row r="16">
      <c r="A16" s="36" t="inlineStr">
        <is>
          <t>Discosea</t>
        </is>
      </c>
      <c r="B16" s="8" t="inlineStr">
        <is>
          <t>Protists</t>
        </is>
      </c>
      <c r="C16" s="8" t="n">
        <v>35</v>
      </c>
      <c r="D16" s="8" t="n">
        <v>35</v>
      </c>
      <c r="E16" s="40">
        <f>D16/C16</f>
        <v/>
      </c>
      <c r="F16" s="8" t="n">
        <v>27</v>
      </c>
      <c r="G16" s="40">
        <f>F16/C16</f>
        <v/>
      </c>
      <c r="H16" s="8" t="n">
        <v>25</v>
      </c>
      <c r="I16" s="40">
        <f>H16/C16</f>
        <v/>
      </c>
      <c r="J16" s="8" t="n">
        <v>25</v>
      </c>
      <c r="K16" s="40">
        <f>J16/C16</f>
        <v/>
      </c>
      <c r="L16" s="8" t="n">
        <v>25</v>
      </c>
      <c r="M16" s="40">
        <f>L16/C16</f>
        <v/>
      </c>
      <c r="N16" s="8" t="n">
        <v>15</v>
      </c>
      <c r="O16" s="40">
        <f>N16/C16</f>
        <v/>
      </c>
    </row>
    <row r="17">
      <c r="A17" s="36" t="inlineStr">
        <is>
          <t>Evosea</t>
        </is>
      </c>
      <c r="B17" s="8" t="inlineStr">
        <is>
          <t>Protists</t>
        </is>
      </c>
      <c r="C17" s="8" t="n">
        <v>650</v>
      </c>
      <c r="D17" s="8" t="n">
        <v>613</v>
      </c>
      <c r="E17" s="40">
        <f>D17/C17</f>
        <v/>
      </c>
      <c r="F17" s="8" t="n">
        <v>356</v>
      </c>
      <c r="G17" s="40">
        <f>F17/C17</f>
        <v/>
      </c>
      <c r="H17" s="8" t="n">
        <v>323</v>
      </c>
      <c r="I17" s="40">
        <f>H17/C17</f>
        <v/>
      </c>
      <c r="J17" s="8" t="n">
        <v>314</v>
      </c>
      <c r="K17" s="40">
        <f>J17/C17</f>
        <v/>
      </c>
      <c r="L17" s="8" t="n">
        <v>313</v>
      </c>
      <c r="M17" s="40">
        <f>L17/C17</f>
        <v/>
      </c>
      <c r="N17" s="8" t="n">
        <v>613</v>
      </c>
      <c r="O17" s="40">
        <f>N17/C17</f>
        <v/>
      </c>
    </row>
    <row r="18">
      <c r="A18" s="36" t="inlineStr">
        <is>
          <t>Heterolobosea</t>
        </is>
      </c>
      <c r="B18" s="8" t="inlineStr">
        <is>
          <t>Protists</t>
        </is>
      </c>
      <c r="C18" s="8" t="n">
        <v>31</v>
      </c>
      <c r="D18" s="8" t="n">
        <v>30</v>
      </c>
      <c r="E18" s="40">
        <f>D18/C18</f>
        <v/>
      </c>
      <c r="F18" s="8" t="n">
        <v>29</v>
      </c>
      <c r="G18" s="40">
        <f>F18/C18</f>
        <v/>
      </c>
      <c r="H18" s="8" t="n">
        <v>28</v>
      </c>
      <c r="I18" s="40">
        <f>H18/C18</f>
        <v/>
      </c>
      <c r="J18" s="8" t="n">
        <v>26</v>
      </c>
      <c r="K18" s="40">
        <f>J18/C18</f>
        <v/>
      </c>
      <c r="L18" s="8" t="n">
        <v>28</v>
      </c>
      <c r="M18" s="40">
        <f>L18/C18</f>
        <v/>
      </c>
      <c r="N18" s="8" t="n">
        <v>23</v>
      </c>
      <c r="O18" s="40">
        <f>N18/C18</f>
        <v/>
      </c>
    </row>
    <row r="19">
      <c r="A19" s="36" t="inlineStr">
        <is>
          <t>All phyla</t>
        </is>
      </c>
      <c r="C19" s="36">
        <f>SUM(C3:C18)</f>
        <v/>
      </c>
      <c r="D19" s="36">
        <f>SUM(D3:D18)</f>
        <v/>
      </c>
      <c r="E19" s="41">
        <f>D19/C19</f>
        <v/>
      </c>
      <c r="F19" s="36">
        <f>SUM(F3:F18)</f>
        <v/>
      </c>
      <c r="G19" s="41">
        <f>F19/C19</f>
        <v/>
      </c>
      <c r="H19" s="36">
        <f>SUM(H3:H18)</f>
        <v/>
      </c>
      <c r="I19" s="41">
        <f>H19/C19</f>
        <v/>
      </c>
      <c r="J19" s="36">
        <f>SUM(J3:J18)</f>
        <v/>
      </c>
      <c r="K19" s="41">
        <f>J19/C19</f>
        <v/>
      </c>
      <c r="L19" s="36">
        <f>SUM(L3:L18)</f>
        <v/>
      </c>
      <c r="M19" s="41">
        <f>L19/C19</f>
        <v/>
      </c>
      <c r="N19" s="36">
        <f>SUM(N3:N18)</f>
        <v/>
      </c>
      <c r="O19" s="41">
        <f>N19/C19</f>
        <v/>
      </c>
    </row>
  </sheetData>
  <mergeCells count="1">
    <mergeCell ref="A1:O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outlineLevelCol="0"/>
  <cols>
    <col width="16" customWidth="1" min="1" max="1"/>
    <col width="14" customWidth="1" min="2" max="2"/>
    <col width="12" customWidth="1" min="3" max="3"/>
    <col width="11" customWidth="1" min="4" max="4"/>
    <col width="8" customWidth="1" min="5" max="5"/>
    <col width="11" customWidth="1" min="6" max="6"/>
    <col width="8" customWidth="1" min="7" max="7"/>
    <col width="11" customWidth="1" min="8" max="8"/>
    <col width="8" customWidth="1" min="9" max="9"/>
    <col width="11" customWidth="1" min="10" max="10"/>
    <col width="8" customWidth="1" min="11" max="11"/>
    <col width="11" customWidth="1" min="12" max="12"/>
    <col width="8" customWidth="1" min="13" max="13"/>
    <col width="11" customWidth="1" min="14" max="14"/>
    <col width="8" customWidth="1" min="15" max="15"/>
  </cols>
  <sheetData>
    <row r="1">
      <c r="A1" s="34" t="inlineStr">
        <is>
          <t>Supplementary Table S9c. Negative-mode annotation coverage by strict phylum</t>
        </is>
      </c>
    </row>
    <row r="2">
      <c r="A2" s="12" t="inlineStr">
        <is>
          <t>Phylum</t>
        </is>
      </c>
      <c r="B2" s="12" t="inlineStr">
        <is>
          <t>Kingdom</t>
        </is>
      </c>
      <c r="C2" s="12" t="inlineStr">
        <is>
          <t>n biomarkers</t>
        </is>
      </c>
      <c r="D2" s="12" t="inlineStr">
        <is>
          <t>Usable MS2 (n)</t>
        </is>
      </c>
      <c r="E2" s="12" t="inlineStr">
        <is>
          <t>Usable MS2 %</t>
        </is>
      </c>
      <c r="F2" s="12" t="inlineStr">
        <is>
          <t>SIRIUS molecular formula (n)</t>
        </is>
      </c>
      <c r="G2" s="12" t="inlineStr">
        <is>
          <t>SIRIUS molecular formula %</t>
        </is>
      </c>
      <c r="H2" s="12" t="inlineStr">
        <is>
          <t>CANOPUS compound class (n)</t>
        </is>
      </c>
      <c r="I2" s="12" t="inlineStr">
        <is>
          <t>CANOPUS compound class %</t>
        </is>
      </c>
      <c r="J2" s="12" t="inlineStr">
        <is>
          <t>CSI:FingerID structure (n)</t>
        </is>
      </c>
      <c r="K2" s="12" t="inlineStr">
        <is>
          <t>CSI:FingerID structure %</t>
        </is>
      </c>
      <c r="L2" s="12" t="inlineStr">
        <is>
          <t>MSNovelist de novo structure (n)</t>
        </is>
      </c>
      <c r="M2" s="12" t="inlineStr">
        <is>
          <t>MSNovelist de novo structure %</t>
        </is>
      </c>
      <c r="N2" s="12" t="inlineStr">
        <is>
          <t>DreaMS spectral neighbour (n)</t>
        </is>
      </c>
      <c r="O2" s="12" t="inlineStr">
        <is>
          <t>DreaMS spectral neighbour %</t>
        </is>
      </c>
    </row>
    <row r="3">
      <c r="A3" s="36" t="inlineStr">
        <is>
          <t>Actinomycetota</t>
        </is>
      </c>
      <c r="B3" s="8" t="inlineStr">
        <is>
          <t>Bacteria</t>
        </is>
      </c>
      <c r="C3" s="8" t="n">
        <v>46</v>
      </c>
      <c r="D3" s="8" t="n">
        <v>46</v>
      </c>
      <c r="E3" s="40">
        <f>D3/C3</f>
        <v/>
      </c>
      <c r="F3" s="8" t="n">
        <v>24</v>
      </c>
      <c r="G3" s="40">
        <f>F3/C3</f>
        <v/>
      </c>
      <c r="H3" s="8" t="n">
        <v>20</v>
      </c>
      <c r="I3" s="40">
        <f>H3/C3</f>
        <v/>
      </c>
      <c r="J3" s="8" t="n">
        <v>19</v>
      </c>
      <c r="K3" s="40">
        <f>J3/C3</f>
        <v/>
      </c>
      <c r="L3" s="8" t="n">
        <v>20</v>
      </c>
      <c r="M3" s="40">
        <f>L3/C3</f>
        <v/>
      </c>
      <c r="N3" s="8" t="n">
        <v>46</v>
      </c>
      <c r="O3" s="40">
        <f>N3/C3</f>
        <v/>
      </c>
    </row>
    <row r="4">
      <c r="A4" s="36" t="inlineStr">
        <is>
          <t>Bacillota</t>
        </is>
      </c>
      <c r="B4" s="8" t="inlineStr">
        <is>
          <t>Bacteria</t>
        </is>
      </c>
      <c r="C4" s="8" t="n">
        <v>246</v>
      </c>
      <c r="D4" s="8" t="n">
        <v>246</v>
      </c>
      <c r="E4" s="40">
        <f>D4/C4</f>
        <v/>
      </c>
      <c r="F4" s="8" t="n">
        <v>176</v>
      </c>
      <c r="G4" s="40">
        <f>F4/C4</f>
        <v/>
      </c>
      <c r="H4" s="8" t="n">
        <v>151</v>
      </c>
      <c r="I4" s="40">
        <f>H4/C4</f>
        <v/>
      </c>
      <c r="J4" s="8" t="n">
        <v>144</v>
      </c>
      <c r="K4" s="40">
        <f>J4/C4</f>
        <v/>
      </c>
      <c r="L4" s="8" t="n">
        <v>151</v>
      </c>
      <c r="M4" s="40">
        <f>L4/C4</f>
        <v/>
      </c>
      <c r="N4" s="8" t="n">
        <v>246</v>
      </c>
      <c r="O4" s="40">
        <f>N4/C4</f>
        <v/>
      </c>
    </row>
    <row r="5">
      <c r="A5" s="36" t="inlineStr">
        <is>
          <t>Pseudomonadota</t>
        </is>
      </c>
      <c r="B5" s="8" t="inlineStr">
        <is>
          <t>Bacteria</t>
        </is>
      </c>
      <c r="C5" s="8" t="n">
        <v>165</v>
      </c>
      <c r="D5" s="8" t="n">
        <v>165</v>
      </c>
      <c r="E5" s="40">
        <f>D5/C5</f>
        <v/>
      </c>
      <c r="F5" s="8" t="n">
        <v>101</v>
      </c>
      <c r="G5" s="40">
        <f>F5/C5</f>
        <v/>
      </c>
      <c r="H5" s="8" t="n">
        <v>92</v>
      </c>
      <c r="I5" s="40">
        <f>H5/C5</f>
        <v/>
      </c>
      <c r="J5" s="8" t="n">
        <v>89</v>
      </c>
      <c r="K5" s="40">
        <f>J5/C5</f>
        <v/>
      </c>
      <c r="L5" s="8" t="n">
        <v>93</v>
      </c>
      <c r="M5" s="40">
        <f>L5/C5</f>
        <v/>
      </c>
      <c r="N5" s="8" t="n">
        <v>165</v>
      </c>
      <c r="O5" s="40">
        <f>N5/C5</f>
        <v/>
      </c>
    </row>
    <row r="6">
      <c r="A6" s="36" t="inlineStr">
        <is>
          <t>Methanobacteriota</t>
        </is>
      </c>
      <c r="B6" s="8" t="inlineStr">
        <is>
          <t>Archaea</t>
        </is>
      </c>
      <c r="C6" s="8" t="n">
        <v>18</v>
      </c>
      <c r="D6" s="8" t="n">
        <v>18</v>
      </c>
      <c r="E6" s="40">
        <f>D6/C6</f>
        <v/>
      </c>
      <c r="F6" s="8" t="n">
        <v>9</v>
      </c>
      <c r="G6" s="40">
        <f>F6/C6</f>
        <v/>
      </c>
      <c r="H6" s="8" t="n">
        <v>6</v>
      </c>
      <c r="I6" s="40">
        <f>H6/C6</f>
        <v/>
      </c>
      <c r="J6" s="8" t="n">
        <v>5</v>
      </c>
      <c r="K6" s="40">
        <f>J6/C6</f>
        <v/>
      </c>
      <c r="L6" s="8" t="n">
        <v>4</v>
      </c>
      <c r="M6" s="40">
        <f>L6/C6</f>
        <v/>
      </c>
      <c r="N6" s="8" t="n">
        <v>18</v>
      </c>
      <c r="O6" s="40">
        <f>N6/C6</f>
        <v/>
      </c>
    </row>
    <row r="7">
      <c r="A7" s="36" t="inlineStr">
        <is>
          <t>Thermoproteota</t>
        </is>
      </c>
      <c r="B7" s="8" t="inlineStr">
        <is>
          <t>Archaea</t>
        </is>
      </c>
      <c r="C7" s="8" t="n">
        <v>3</v>
      </c>
      <c r="D7" s="8" t="n">
        <v>3</v>
      </c>
      <c r="E7" s="40">
        <f>D7/C7</f>
        <v/>
      </c>
      <c r="F7" s="8" t="n">
        <v>2</v>
      </c>
      <c r="G7" s="40">
        <f>F7/C7</f>
        <v/>
      </c>
      <c r="H7" s="8" t="n">
        <v>1</v>
      </c>
      <c r="I7" s="40">
        <f>H7/C7</f>
        <v/>
      </c>
      <c r="J7" s="8" t="n">
        <v>1</v>
      </c>
      <c r="K7" s="40">
        <f>J7/C7</f>
        <v/>
      </c>
      <c r="L7" s="8" t="n">
        <v>1</v>
      </c>
      <c r="M7" s="40">
        <f>L7/C7</f>
        <v/>
      </c>
      <c r="N7" s="8" t="n">
        <v>3</v>
      </c>
      <c r="O7" s="40">
        <f>N7/C7</f>
        <v/>
      </c>
    </row>
    <row r="8">
      <c r="A8" s="36" t="inlineStr">
        <is>
          <t>Ascomycota</t>
        </is>
      </c>
      <c r="B8" s="8" t="inlineStr">
        <is>
          <t>Fungi</t>
        </is>
      </c>
      <c r="C8" s="8" t="n">
        <v>937</v>
      </c>
      <c r="D8" s="8" t="n">
        <v>937</v>
      </c>
      <c r="E8" s="40">
        <f>D8/C8</f>
        <v/>
      </c>
      <c r="F8" s="8" t="n">
        <v>804</v>
      </c>
      <c r="G8" s="40">
        <f>F8/C8</f>
        <v/>
      </c>
      <c r="H8" s="8" t="n">
        <v>780</v>
      </c>
      <c r="I8" s="40">
        <f>H8/C8</f>
        <v/>
      </c>
      <c r="J8" s="8" t="n">
        <v>748</v>
      </c>
      <c r="K8" s="40">
        <f>J8/C8</f>
        <v/>
      </c>
      <c r="L8" s="8" t="n">
        <v>749</v>
      </c>
      <c r="M8" s="40">
        <f>L8/C8</f>
        <v/>
      </c>
      <c r="N8" s="8" t="n">
        <v>937</v>
      </c>
      <c r="O8" s="40">
        <f>N8/C8</f>
        <v/>
      </c>
    </row>
    <row r="9">
      <c r="A9" s="36" t="inlineStr">
        <is>
          <t>Basidiomycota</t>
        </is>
      </c>
      <c r="B9" s="8" t="inlineStr">
        <is>
          <t>Fungi</t>
        </is>
      </c>
      <c r="C9" s="8" t="n">
        <v>154</v>
      </c>
      <c r="D9" s="8" t="n">
        <v>153</v>
      </c>
      <c r="E9" s="40">
        <f>D9/C9</f>
        <v/>
      </c>
      <c r="F9" s="8" t="n">
        <v>132</v>
      </c>
      <c r="G9" s="40">
        <f>F9/C9</f>
        <v/>
      </c>
      <c r="H9" s="8" t="n">
        <v>129</v>
      </c>
      <c r="I9" s="40">
        <f>H9/C9</f>
        <v/>
      </c>
      <c r="J9" s="8" t="n">
        <v>122</v>
      </c>
      <c r="K9" s="40">
        <f>J9/C9</f>
        <v/>
      </c>
      <c r="L9" s="8" t="n">
        <v>122</v>
      </c>
      <c r="M9" s="40">
        <f>L9/C9</f>
        <v/>
      </c>
      <c r="N9" s="8" t="n">
        <v>153</v>
      </c>
      <c r="O9" s="40">
        <f>N9/C9</f>
        <v/>
      </c>
    </row>
    <row r="10">
      <c r="A10" s="36" t="inlineStr">
        <is>
          <t>Mucoromycota</t>
        </is>
      </c>
      <c r="B10" s="8" t="inlineStr">
        <is>
          <t>Fungi</t>
        </is>
      </c>
      <c r="C10" s="8" t="n">
        <v>17</v>
      </c>
      <c r="D10" s="8" t="n">
        <v>17</v>
      </c>
      <c r="E10" s="40">
        <f>D10/C10</f>
        <v/>
      </c>
      <c r="F10" s="8" t="n">
        <v>12</v>
      </c>
      <c r="G10" s="40">
        <f>F10/C10</f>
        <v/>
      </c>
      <c r="H10" s="8" t="n">
        <v>11</v>
      </c>
      <c r="I10" s="40">
        <f>H10/C10</f>
        <v/>
      </c>
      <c r="J10" s="8" t="n">
        <v>8</v>
      </c>
      <c r="K10" s="40">
        <f>J10/C10</f>
        <v/>
      </c>
      <c r="L10" s="8" t="n">
        <v>9</v>
      </c>
      <c r="M10" s="40">
        <f>L10/C10</f>
        <v/>
      </c>
      <c r="N10" s="8" t="n">
        <v>17</v>
      </c>
      <c r="O10" s="40">
        <f>N10/C10</f>
        <v/>
      </c>
    </row>
    <row r="11">
      <c r="A11" s="36" t="inlineStr">
        <is>
          <t>Chlorophyta</t>
        </is>
      </c>
      <c r="B11" s="8" t="inlineStr">
        <is>
          <t>Viridiplantae</t>
        </is>
      </c>
      <c r="C11" s="8" t="n">
        <v>316</v>
      </c>
      <c r="D11" s="8" t="n">
        <v>316</v>
      </c>
      <c r="E11" s="40">
        <f>D11/C11</f>
        <v/>
      </c>
      <c r="F11" s="8" t="n">
        <v>156</v>
      </c>
      <c r="G11" s="40">
        <f>F11/C11</f>
        <v/>
      </c>
      <c r="H11" s="8" t="n">
        <v>142</v>
      </c>
      <c r="I11" s="40">
        <f>H11/C11</f>
        <v/>
      </c>
      <c r="J11" s="8" t="n">
        <v>138</v>
      </c>
      <c r="K11" s="40">
        <f>J11/C11</f>
        <v/>
      </c>
      <c r="L11" s="8" t="n">
        <v>138</v>
      </c>
      <c r="M11" s="40">
        <f>L11/C11</f>
        <v/>
      </c>
      <c r="N11" s="8" t="n">
        <v>316</v>
      </c>
      <c r="O11" s="40">
        <f>N11/C11</f>
        <v/>
      </c>
    </row>
    <row r="12">
      <c r="A12" s="36" t="inlineStr">
        <is>
          <t>Streptophyta</t>
        </is>
      </c>
      <c r="B12" s="8" t="inlineStr">
        <is>
          <t>Viridiplantae</t>
        </is>
      </c>
      <c r="C12" s="8" t="n">
        <v>1457</v>
      </c>
      <c r="D12" s="8" t="n">
        <v>1457</v>
      </c>
      <c r="E12" s="40">
        <f>D12/C12</f>
        <v/>
      </c>
      <c r="F12" s="8" t="n">
        <v>1060</v>
      </c>
      <c r="G12" s="40">
        <f>F12/C12</f>
        <v/>
      </c>
      <c r="H12" s="8" t="n">
        <v>1014</v>
      </c>
      <c r="I12" s="40">
        <f>H12/C12</f>
        <v/>
      </c>
      <c r="J12" s="8" t="n">
        <v>987</v>
      </c>
      <c r="K12" s="40">
        <f>J12/C12</f>
        <v/>
      </c>
      <c r="L12" s="8" t="n">
        <v>965</v>
      </c>
      <c r="M12" s="40">
        <f>L12/C12</f>
        <v/>
      </c>
      <c r="N12" s="8" t="n">
        <v>1457</v>
      </c>
      <c r="O12" s="40">
        <f>N12/C12</f>
        <v/>
      </c>
    </row>
    <row r="13">
      <c r="A13" s="36" t="inlineStr">
        <is>
          <t>Arthropoda</t>
        </is>
      </c>
      <c r="B13" s="8" t="inlineStr">
        <is>
          <t>Animalia</t>
        </is>
      </c>
      <c r="C13" s="8" t="n">
        <v>753</v>
      </c>
      <c r="D13" s="8" t="n">
        <v>752</v>
      </c>
      <c r="E13" s="40">
        <f>D13/C13</f>
        <v/>
      </c>
      <c r="F13" s="8" t="n">
        <v>615</v>
      </c>
      <c r="G13" s="40">
        <f>F13/C13</f>
        <v/>
      </c>
      <c r="H13" s="8" t="n">
        <v>569</v>
      </c>
      <c r="I13" s="40">
        <f>H13/C13</f>
        <v/>
      </c>
      <c r="J13" s="8" t="n">
        <v>546</v>
      </c>
      <c r="K13" s="40">
        <f>J13/C13</f>
        <v/>
      </c>
      <c r="L13" s="8" t="n">
        <v>540</v>
      </c>
      <c r="M13" s="40">
        <f>L13/C13</f>
        <v/>
      </c>
      <c r="N13" s="8" t="n">
        <v>752</v>
      </c>
      <c r="O13" s="40">
        <f>N13/C13</f>
        <v/>
      </c>
    </row>
    <row r="14">
      <c r="A14" s="36" t="inlineStr">
        <is>
          <t>Mollusca</t>
        </is>
      </c>
      <c r="B14" s="8" t="inlineStr">
        <is>
          <t>Animalia</t>
        </is>
      </c>
      <c r="C14" s="8" t="n">
        <v>327</v>
      </c>
      <c r="D14" s="8" t="n">
        <v>327</v>
      </c>
      <c r="E14" s="40">
        <f>D14/C14</f>
        <v/>
      </c>
      <c r="F14" s="8" t="n">
        <v>191</v>
      </c>
      <c r="G14" s="40">
        <f>F14/C14</f>
        <v/>
      </c>
      <c r="H14" s="8" t="n">
        <v>168</v>
      </c>
      <c r="I14" s="40">
        <f>H14/C14</f>
        <v/>
      </c>
      <c r="J14" s="8" t="n">
        <v>156</v>
      </c>
      <c r="K14" s="40">
        <f>J14/C14</f>
        <v/>
      </c>
      <c r="L14" s="8" t="n">
        <v>161</v>
      </c>
      <c r="M14" s="40">
        <f>L14/C14</f>
        <v/>
      </c>
      <c r="N14" s="8" t="n">
        <v>327</v>
      </c>
      <c r="O14" s="40">
        <f>N14/C14</f>
        <v/>
      </c>
    </row>
    <row r="15">
      <c r="A15" s="36" t="inlineStr">
        <is>
          <t>Nematoda</t>
        </is>
      </c>
      <c r="B15" s="8" t="inlineStr">
        <is>
          <t>Animalia</t>
        </is>
      </c>
      <c r="C15" s="8" t="n">
        <v>249</v>
      </c>
      <c r="D15" s="8" t="n">
        <v>249</v>
      </c>
      <c r="E15" s="40">
        <f>D15/C15</f>
        <v/>
      </c>
      <c r="F15" s="8" t="n">
        <v>83</v>
      </c>
      <c r="G15" s="40">
        <f>F15/C15</f>
        <v/>
      </c>
      <c r="H15" s="8" t="n">
        <v>70</v>
      </c>
      <c r="I15" s="40">
        <f>H15/C15</f>
        <v/>
      </c>
      <c r="J15" s="8" t="n">
        <v>64</v>
      </c>
      <c r="K15" s="40">
        <f>J15/C15</f>
        <v/>
      </c>
      <c r="L15" s="8" t="n">
        <v>66</v>
      </c>
      <c r="M15" s="40">
        <f>L15/C15</f>
        <v/>
      </c>
      <c r="N15" s="8" t="n">
        <v>249</v>
      </c>
      <c r="O15" s="40">
        <f>N15/C15</f>
        <v/>
      </c>
    </row>
    <row r="16">
      <c r="A16" s="36" t="inlineStr">
        <is>
          <t>Discosea</t>
        </is>
      </c>
      <c r="B16" s="8" t="inlineStr">
        <is>
          <t>Protists</t>
        </is>
      </c>
      <c r="C16" s="8" t="n">
        <v>8</v>
      </c>
      <c r="D16" s="8" t="n">
        <v>8</v>
      </c>
      <c r="E16" s="40">
        <f>D16/C16</f>
        <v/>
      </c>
      <c r="F16" s="8" t="n">
        <v>6</v>
      </c>
      <c r="G16" s="40">
        <f>F16/C16</f>
        <v/>
      </c>
      <c r="H16" s="8" t="n">
        <v>6</v>
      </c>
      <c r="I16" s="40">
        <f>H16/C16</f>
        <v/>
      </c>
      <c r="J16" s="8" t="n">
        <v>5</v>
      </c>
      <c r="K16" s="40">
        <f>J16/C16</f>
        <v/>
      </c>
      <c r="L16" s="8" t="n">
        <v>6</v>
      </c>
      <c r="M16" s="40">
        <f>L16/C16</f>
        <v/>
      </c>
      <c r="N16" s="8" t="n">
        <v>8</v>
      </c>
      <c r="O16" s="40">
        <f>N16/C16</f>
        <v/>
      </c>
    </row>
    <row r="17">
      <c r="A17" s="36" t="inlineStr">
        <is>
          <t>Evosea</t>
        </is>
      </c>
      <c r="B17" s="8" t="inlineStr">
        <is>
          <t>Protists</t>
        </is>
      </c>
      <c r="C17" s="8" t="n">
        <v>440</v>
      </c>
      <c r="D17" s="8" t="n">
        <v>440</v>
      </c>
      <c r="E17" s="40">
        <f>D17/C17</f>
        <v/>
      </c>
      <c r="F17" s="8" t="n">
        <v>191</v>
      </c>
      <c r="G17" s="40">
        <f>F17/C17</f>
        <v/>
      </c>
      <c r="H17" s="8" t="n">
        <v>173</v>
      </c>
      <c r="I17" s="40">
        <f>H17/C17</f>
        <v/>
      </c>
      <c r="J17" s="8" t="n">
        <v>161</v>
      </c>
      <c r="K17" s="40">
        <f>J17/C17</f>
        <v/>
      </c>
      <c r="L17" s="8" t="n">
        <v>170</v>
      </c>
      <c r="M17" s="40">
        <f>L17/C17</f>
        <v/>
      </c>
      <c r="N17" s="8" t="n">
        <v>440</v>
      </c>
      <c r="O17" s="40">
        <f>N17/C17</f>
        <v/>
      </c>
    </row>
    <row r="18">
      <c r="A18" s="36" t="inlineStr">
        <is>
          <t>Heterolobosea</t>
        </is>
      </c>
      <c r="B18" s="8" t="inlineStr">
        <is>
          <t>Protists</t>
        </is>
      </c>
      <c r="C18" s="8" t="n">
        <v>561</v>
      </c>
      <c r="D18" s="8" t="n">
        <v>561</v>
      </c>
      <c r="E18" s="40">
        <f>D18/C18</f>
        <v/>
      </c>
      <c r="F18" s="8" t="n">
        <v>352</v>
      </c>
      <c r="G18" s="40">
        <f>F18/C18</f>
        <v/>
      </c>
      <c r="H18" s="8" t="n">
        <v>199</v>
      </c>
      <c r="I18" s="40">
        <f>H18/C18</f>
        <v/>
      </c>
      <c r="J18" s="8" t="n">
        <v>159</v>
      </c>
      <c r="K18" s="40">
        <f>J18/C18</f>
        <v/>
      </c>
      <c r="L18" s="8" t="n">
        <v>182</v>
      </c>
      <c r="M18" s="40">
        <f>L18/C18</f>
        <v/>
      </c>
      <c r="N18" s="8" t="n">
        <v>561</v>
      </c>
      <c r="O18" s="40">
        <f>N18/C18</f>
        <v/>
      </c>
    </row>
    <row r="19">
      <c r="A19" s="36" t="inlineStr">
        <is>
          <t>All phyla</t>
        </is>
      </c>
      <c r="C19" s="36">
        <f>SUM(C3:C18)</f>
        <v/>
      </c>
      <c r="D19" s="36">
        <f>SUM(D3:D18)</f>
        <v/>
      </c>
      <c r="E19" s="41">
        <f>D19/C19</f>
        <v/>
      </c>
      <c r="F19" s="36">
        <f>SUM(F3:F18)</f>
        <v/>
      </c>
      <c r="G19" s="41">
        <f>F19/C19</f>
        <v/>
      </c>
      <c r="H19" s="36">
        <f>SUM(H3:H18)</f>
        <v/>
      </c>
      <c r="I19" s="41">
        <f>H19/C19</f>
        <v/>
      </c>
      <c r="J19" s="36">
        <f>SUM(J3:J18)</f>
        <v/>
      </c>
      <c r="K19" s="41">
        <f>J19/C19</f>
        <v/>
      </c>
      <c r="L19" s="36">
        <f>SUM(L3:L18)</f>
        <v/>
      </c>
      <c r="M19" s="41">
        <f>L19/C19</f>
        <v/>
      </c>
      <c r="N19" s="36">
        <f>SUM(N3:N18)</f>
        <v/>
      </c>
      <c r="O19" s="41">
        <f>N19/C19</f>
        <v/>
      </c>
    </row>
  </sheetData>
  <mergeCells count="1">
    <mergeCell ref="A1:O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outlineLevelCol="0"/>
  <cols>
    <col width="16" customWidth="1" min="1" max="1"/>
    <col width="1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6" customWidth="1" min="10" max="10"/>
  </cols>
  <sheetData>
    <row r="1">
      <c r="A1" s="34" t="inlineStr">
        <is>
          <t>Supplementary Table S9d. Positive-mode NPClassifier pathway by strict phylum (CANOPUS)</t>
        </is>
      </c>
    </row>
    <row r="2">
      <c r="A2" s="12" t="inlineStr">
        <is>
          <t>Phylum</t>
        </is>
      </c>
      <c r="B2" s="12" t="inlineStr">
        <is>
          <t>Kingdom</t>
        </is>
      </c>
      <c r="C2" s="12" t="inlineStr">
        <is>
          <t>Fatty acids</t>
        </is>
      </c>
      <c r="D2" s="12" t="inlineStr">
        <is>
          <t>Terpenoids</t>
        </is>
      </c>
      <c r="E2" s="12" t="inlineStr">
        <is>
          <t>Polyketides</t>
        </is>
      </c>
      <c r="F2" s="12" t="inlineStr">
        <is>
          <t>Amino acids and Peptides</t>
        </is>
      </c>
      <c r="G2" s="12" t="inlineStr">
        <is>
          <t>Alkaloids</t>
        </is>
      </c>
      <c r="H2" s="12" t="inlineStr">
        <is>
          <t>Carbohydrates</t>
        </is>
      </c>
      <c r="I2" s="12" t="inlineStr">
        <is>
          <t>Shikimates and Phenylpropanoids</t>
        </is>
      </c>
      <c r="J2" s="12" t="inlineStr">
        <is>
          <t>CANOPUS classified (n)</t>
        </is>
      </c>
    </row>
    <row r="3">
      <c r="A3" s="36" t="inlineStr">
        <is>
          <t>Actinomycetota</t>
        </is>
      </c>
      <c r="B3" s="8" t="inlineStr">
        <is>
          <t>Bacteria</t>
        </is>
      </c>
      <c r="C3" s="8" t="n">
        <v>149</v>
      </c>
      <c r="D3" s="8" t="n">
        <v>11</v>
      </c>
      <c r="E3" s="8" t="n">
        <v>7</v>
      </c>
      <c r="F3" s="8" t="n">
        <v>29</v>
      </c>
      <c r="G3" s="8" t="n">
        <v>8</v>
      </c>
      <c r="H3" s="8" t="n">
        <v>0</v>
      </c>
      <c r="I3" s="8" t="n">
        <v>0</v>
      </c>
      <c r="J3" s="8">
        <f>SUM(C3:I3)</f>
        <v/>
      </c>
    </row>
    <row r="4">
      <c r="A4" s="36" t="inlineStr">
        <is>
          <t>Bacillota</t>
        </is>
      </c>
      <c r="B4" s="8" t="inlineStr">
        <is>
          <t>Bacteria</t>
        </is>
      </c>
      <c r="C4" s="8" t="n">
        <v>413</v>
      </c>
      <c r="D4" s="8" t="n">
        <v>129</v>
      </c>
      <c r="E4" s="8" t="n">
        <v>40</v>
      </c>
      <c r="F4" s="8" t="n">
        <v>142</v>
      </c>
      <c r="G4" s="8" t="n">
        <v>54</v>
      </c>
      <c r="H4" s="8" t="n">
        <v>6</v>
      </c>
      <c r="I4" s="8" t="n">
        <v>1</v>
      </c>
      <c r="J4" s="8">
        <f>SUM(C4:I4)</f>
        <v/>
      </c>
    </row>
    <row r="5">
      <c r="A5" s="36" t="inlineStr">
        <is>
          <t>Pseudomonadota</t>
        </is>
      </c>
      <c r="B5" s="8" t="inlineStr">
        <is>
          <t>Bacteria</t>
        </is>
      </c>
      <c r="C5" s="8" t="n">
        <v>215</v>
      </c>
      <c r="D5" s="8" t="n">
        <v>42</v>
      </c>
      <c r="E5" s="8" t="n">
        <v>15</v>
      </c>
      <c r="F5" s="8" t="n">
        <v>51</v>
      </c>
      <c r="G5" s="8" t="n">
        <v>10</v>
      </c>
      <c r="H5" s="8" t="n">
        <v>0</v>
      </c>
      <c r="I5" s="8" t="n">
        <v>0</v>
      </c>
      <c r="J5" s="8">
        <f>SUM(C5:I5)</f>
        <v/>
      </c>
    </row>
    <row r="6">
      <c r="A6" s="36" t="inlineStr">
        <is>
          <t>Methanobacteriota</t>
        </is>
      </c>
      <c r="B6" s="8" t="inlineStr">
        <is>
          <t>Archaea</t>
        </is>
      </c>
      <c r="C6" s="8" t="n">
        <v>391</v>
      </c>
      <c r="D6" s="8" t="n">
        <v>96</v>
      </c>
      <c r="E6" s="8" t="n">
        <v>26</v>
      </c>
      <c r="F6" s="8" t="n">
        <v>32</v>
      </c>
      <c r="G6" s="8" t="n">
        <v>36</v>
      </c>
      <c r="H6" s="8" t="n">
        <v>3</v>
      </c>
      <c r="I6" s="8" t="n">
        <v>1</v>
      </c>
      <c r="J6" s="8">
        <f>SUM(C6:I6)</f>
        <v/>
      </c>
    </row>
    <row r="7">
      <c r="A7" s="36" t="inlineStr">
        <is>
          <t>Thermoproteota</t>
        </is>
      </c>
      <c r="B7" s="8" t="inlineStr">
        <is>
          <t>Archaea</t>
        </is>
      </c>
      <c r="C7" s="8" t="n">
        <v>82</v>
      </c>
      <c r="D7" s="8" t="n">
        <v>37</v>
      </c>
      <c r="E7" s="8" t="n">
        <v>6</v>
      </c>
      <c r="F7" s="8" t="n">
        <v>15</v>
      </c>
      <c r="G7" s="8" t="n">
        <v>15</v>
      </c>
      <c r="H7" s="8" t="n">
        <v>10</v>
      </c>
      <c r="I7" s="8" t="n">
        <v>5</v>
      </c>
      <c r="J7" s="8">
        <f>SUM(C7:I7)</f>
        <v/>
      </c>
    </row>
    <row r="8">
      <c r="A8" s="36" t="inlineStr">
        <is>
          <t>Ascomycota</t>
        </is>
      </c>
      <c r="B8" s="8" t="inlineStr">
        <is>
          <t>Fungi</t>
        </is>
      </c>
      <c r="C8" s="8" t="n">
        <v>116</v>
      </c>
      <c r="D8" s="8" t="n">
        <v>47</v>
      </c>
      <c r="E8" s="8" t="n">
        <v>12</v>
      </c>
      <c r="F8" s="8" t="n">
        <v>27</v>
      </c>
      <c r="G8" s="8" t="n">
        <v>11</v>
      </c>
      <c r="H8" s="8" t="n">
        <v>2</v>
      </c>
      <c r="I8" s="8" t="n">
        <v>0</v>
      </c>
      <c r="J8" s="8">
        <f>SUM(C8:I8)</f>
        <v/>
      </c>
    </row>
    <row r="9">
      <c r="A9" s="36" t="inlineStr">
        <is>
          <t>Basidiomycota</t>
        </is>
      </c>
      <c r="B9" s="8" t="inlineStr">
        <is>
          <t>Fungi</t>
        </is>
      </c>
      <c r="C9" s="8" t="n">
        <v>193</v>
      </c>
      <c r="D9" s="8" t="n">
        <v>71</v>
      </c>
      <c r="E9" s="8" t="n">
        <v>13</v>
      </c>
      <c r="F9" s="8" t="n">
        <v>76</v>
      </c>
      <c r="G9" s="8" t="n">
        <v>13</v>
      </c>
      <c r="H9" s="8" t="n">
        <v>2</v>
      </c>
      <c r="I9" s="8" t="n">
        <v>0</v>
      </c>
      <c r="J9" s="8">
        <f>SUM(C9:I9)</f>
        <v/>
      </c>
    </row>
    <row r="10">
      <c r="A10" s="36" t="inlineStr">
        <is>
          <t>Mucoromycota</t>
        </is>
      </c>
      <c r="B10" s="8" t="inlineStr">
        <is>
          <t>Fungi</t>
        </is>
      </c>
      <c r="C10" s="8" t="n">
        <v>15</v>
      </c>
      <c r="D10" s="8" t="n">
        <v>1</v>
      </c>
      <c r="E10" s="8" t="n">
        <v>2</v>
      </c>
      <c r="F10" s="8" t="n">
        <v>6</v>
      </c>
      <c r="G10" s="8" t="n">
        <v>2</v>
      </c>
      <c r="H10" s="8" t="n">
        <v>1</v>
      </c>
      <c r="I10" s="8" t="n">
        <v>0</v>
      </c>
      <c r="J10" s="8">
        <f>SUM(C10:I10)</f>
        <v/>
      </c>
    </row>
    <row r="11">
      <c r="A11" s="36" t="inlineStr">
        <is>
          <t>Chlorophyta</t>
        </is>
      </c>
      <c r="B11" s="8" t="inlineStr">
        <is>
          <t>Viridiplantae</t>
        </is>
      </c>
      <c r="C11" s="8" t="n">
        <v>82</v>
      </c>
      <c r="D11" s="8" t="n">
        <v>53</v>
      </c>
      <c r="E11" s="8" t="n">
        <v>58</v>
      </c>
      <c r="F11" s="8" t="n">
        <v>13</v>
      </c>
      <c r="G11" s="8" t="n">
        <v>3</v>
      </c>
      <c r="H11" s="8" t="n">
        <v>3</v>
      </c>
      <c r="I11" s="8" t="n">
        <v>1</v>
      </c>
      <c r="J11" s="8">
        <f>SUM(C11:I11)</f>
        <v/>
      </c>
    </row>
    <row r="12">
      <c r="A12" s="36" t="inlineStr">
        <is>
          <t>Streptophyta</t>
        </is>
      </c>
      <c r="B12" s="8" t="inlineStr">
        <is>
          <t>Viridiplantae</t>
        </is>
      </c>
      <c r="C12" s="8" t="n">
        <v>1857</v>
      </c>
      <c r="D12" s="8" t="n">
        <v>769</v>
      </c>
      <c r="E12" s="8" t="n">
        <v>567</v>
      </c>
      <c r="F12" s="8" t="n">
        <v>123</v>
      </c>
      <c r="G12" s="8" t="n">
        <v>75</v>
      </c>
      <c r="H12" s="8" t="n">
        <v>10</v>
      </c>
      <c r="I12" s="8" t="n">
        <v>4</v>
      </c>
      <c r="J12" s="8">
        <f>SUM(C12:I12)</f>
        <v/>
      </c>
    </row>
    <row r="13">
      <c r="A13" s="36" t="inlineStr">
        <is>
          <t>Arthropoda</t>
        </is>
      </c>
      <c r="B13" s="8" t="inlineStr">
        <is>
          <t>Animalia</t>
        </is>
      </c>
      <c r="C13" s="8" t="n">
        <v>171</v>
      </c>
      <c r="D13" s="8" t="n">
        <v>42</v>
      </c>
      <c r="E13" s="8" t="n">
        <v>28</v>
      </c>
      <c r="F13" s="8" t="n">
        <v>37</v>
      </c>
      <c r="G13" s="8" t="n">
        <v>19</v>
      </c>
      <c r="H13" s="8" t="n">
        <v>11</v>
      </c>
      <c r="I13" s="8" t="n">
        <v>2</v>
      </c>
      <c r="J13" s="8">
        <f>SUM(C13:I13)</f>
        <v/>
      </c>
    </row>
    <row r="14">
      <c r="A14" s="36" t="inlineStr">
        <is>
          <t>Mollusca</t>
        </is>
      </c>
      <c r="B14" s="8" t="inlineStr">
        <is>
          <t>Animalia</t>
        </is>
      </c>
      <c r="C14" s="8" t="n">
        <v>141</v>
      </c>
      <c r="D14" s="8" t="n">
        <v>45</v>
      </c>
      <c r="E14" s="8" t="n">
        <v>12</v>
      </c>
      <c r="F14" s="8" t="n">
        <v>12</v>
      </c>
      <c r="G14" s="8" t="n">
        <v>7</v>
      </c>
      <c r="H14" s="8" t="n">
        <v>1</v>
      </c>
      <c r="I14" s="8" t="n">
        <v>0</v>
      </c>
      <c r="J14" s="8">
        <f>SUM(C14:I14)</f>
        <v/>
      </c>
    </row>
    <row r="15">
      <c r="A15" s="36" t="inlineStr">
        <is>
          <t>Nematoda</t>
        </is>
      </c>
      <c r="B15" s="8" t="inlineStr">
        <is>
          <t>Animalia</t>
        </is>
      </c>
      <c r="C15" s="8" t="n">
        <v>69</v>
      </c>
      <c r="D15" s="8" t="n">
        <v>14</v>
      </c>
      <c r="E15" s="8" t="n">
        <v>8</v>
      </c>
      <c r="F15" s="8" t="n">
        <v>18</v>
      </c>
      <c r="G15" s="8" t="n">
        <v>12</v>
      </c>
      <c r="H15" s="8" t="n">
        <v>4</v>
      </c>
      <c r="I15" s="8" t="n">
        <v>2</v>
      </c>
      <c r="J15" s="8">
        <f>SUM(C15:I15)</f>
        <v/>
      </c>
    </row>
    <row r="16">
      <c r="A16" s="36" t="inlineStr">
        <is>
          <t>Discosea</t>
        </is>
      </c>
      <c r="B16" s="8" t="inlineStr">
        <is>
          <t>Protists</t>
        </is>
      </c>
      <c r="C16" s="8" t="n">
        <v>21</v>
      </c>
      <c r="D16" s="8" t="n">
        <v>2</v>
      </c>
      <c r="E16" s="8" t="n">
        <v>0</v>
      </c>
      <c r="F16" s="8" t="n">
        <v>2</v>
      </c>
      <c r="G16" s="8" t="n">
        <v>0</v>
      </c>
      <c r="H16" s="8" t="n">
        <v>0</v>
      </c>
      <c r="I16" s="8" t="n">
        <v>0</v>
      </c>
      <c r="J16" s="8">
        <f>SUM(C16:I16)</f>
        <v/>
      </c>
    </row>
    <row r="17">
      <c r="A17" s="36" t="inlineStr">
        <is>
          <t>Evosea</t>
        </is>
      </c>
      <c r="B17" s="8" t="inlineStr">
        <is>
          <t>Protists</t>
        </is>
      </c>
      <c r="C17" s="8" t="n">
        <v>219</v>
      </c>
      <c r="D17" s="8" t="n">
        <v>37</v>
      </c>
      <c r="E17" s="8" t="n">
        <v>21</v>
      </c>
      <c r="F17" s="8" t="n">
        <v>25</v>
      </c>
      <c r="G17" s="8" t="n">
        <v>18</v>
      </c>
      <c r="H17" s="8" t="n">
        <v>2</v>
      </c>
      <c r="I17" s="8" t="n">
        <v>1</v>
      </c>
      <c r="J17" s="8">
        <f>SUM(C17:I17)</f>
        <v/>
      </c>
    </row>
    <row r="18">
      <c r="A18" s="36" t="inlineStr">
        <is>
          <t>Heterolobosea</t>
        </is>
      </c>
      <c r="B18" s="8" t="inlineStr">
        <is>
          <t>Protists</t>
        </is>
      </c>
      <c r="C18" s="8" t="n">
        <v>21</v>
      </c>
      <c r="D18" s="8" t="n">
        <v>2</v>
      </c>
      <c r="E18" s="8" t="n">
        <v>2</v>
      </c>
      <c r="F18" s="8" t="n">
        <v>2</v>
      </c>
      <c r="G18" s="8" t="n">
        <v>1</v>
      </c>
      <c r="H18" s="8" t="n">
        <v>0</v>
      </c>
      <c r="I18" s="8" t="n">
        <v>0</v>
      </c>
      <c r="J18" s="8">
        <f>SUM(C18:I18)</f>
        <v/>
      </c>
    </row>
    <row r="19">
      <c r="A19" s="36" t="inlineStr">
        <is>
          <t>All phyla</t>
        </is>
      </c>
      <c r="C19" s="36">
        <f>SUM(C3:C18)</f>
        <v/>
      </c>
      <c r="D19" s="36">
        <f>SUM(D3:D18)</f>
        <v/>
      </c>
      <c r="E19" s="36">
        <f>SUM(E3:E18)</f>
        <v/>
      </c>
      <c r="F19" s="36">
        <f>SUM(F3:F18)</f>
        <v/>
      </c>
      <c r="G19" s="36">
        <f>SUM(G3:G18)</f>
        <v/>
      </c>
      <c r="H19" s="36">
        <f>SUM(H3:H18)</f>
        <v/>
      </c>
      <c r="I19" s="36">
        <f>SUM(I3:I18)</f>
        <v/>
      </c>
      <c r="J19" s="36">
        <f>SUM(J3:J18)</f>
        <v/>
      </c>
    </row>
  </sheetData>
  <mergeCells count="1">
    <mergeCell ref="A1:J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outlineLevelCol="0"/>
  <cols>
    <col width="16" customWidth="1" min="1" max="1"/>
    <col width="1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6" customWidth="1" min="10" max="10"/>
  </cols>
  <sheetData>
    <row r="1">
      <c r="A1" s="34" t="inlineStr">
        <is>
          <t>Supplementary Table S9e. Negative-mode NPClassifier pathway by strict phylum (CANOPUS)</t>
        </is>
      </c>
    </row>
    <row r="2">
      <c r="A2" s="12" t="inlineStr">
        <is>
          <t>Phylum</t>
        </is>
      </c>
      <c r="B2" s="12" t="inlineStr">
        <is>
          <t>Kingdom</t>
        </is>
      </c>
      <c r="C2" s="12" t="inlineStr">
        <is>
          <t>Fatty acids</t>
        </is>
      </c>
      <c r="D2" s="12" t="inlineStr">
        <is>
          <t>Terpenoids</t>
        </is>
      </c>
      <c r="E2" s="12" t="inlineStr">
        <is>
          <t>Polyketides</t>
        </is>
      </c>
      <c r="F2" s="12" t="inlineStr">
        <is>
          <t>Amino acids and Peptides</t>
        </is>
      </c>
      <c r="G2" s="12" t="inlineStr">
        <is>
          <t>Alkaloids</t>
        </is>
      </c>
      <c r="H2" s="12" t="inlineStr">
        <is>
          <t>Carbohydrates</t>
        </is>
      </c>
      <c r="I2" s="12" t="inlineStr">
        <is>
          <t>Shikimates and Phenylpropanoids</t>
        </is>
      </c>
      <c r="J2" s="12" t="inlineStr">
        <is>
          <t>CANOPUS classified (n)</t>
        </is>
      </c>
    </row>
    <row r="3">
      <c r="A3" s="36" t="inlineStr">
        <is>
          <t>Actinomycetota</t>
        </is>
      </c>
      <c r="B3" s="8" t="inlineStr">
        <is>
          <t>Bacteria</t>
        </is>
      </c>
      <c r="C3" s="8" t="n">
        <v>15</v>
      </c>
      <c r="D3" s="8" t="n">
        <v>3</v>
      </c>
      <c r="E3" s="8" t="n">
        <v>1</v>
      </c>
      <c r="F3" s="8" t="n">
        <v>0</v>
      </c>
      <c r="G3" s="8" t="n">
        <v>1</v>
      </c>
      <c r="H3" s="8" t="n">
        <v>0</v>
      </c>
      <c r="I3" s="8" t="n">
        <v>0</v>
      </c>
      <c r="J3" s="8">
        <f>SUM(C3:I3)</f>
        <v/>
      </c>
    </row>
    <row r="4">
      <c r="A4" s="36" t="inlineStr">
        <is>
          <t>Bacillota</t>
        </is>
      </c>
      <c r="B4" s="8" t="inlineStr">
        <is>
          <t>Bacteria</t>
        </is>
      </c>
      <c r="C4" s="8" t="n">
        <v>98</v>
      </c>
      <c r="D4" s="8" t="n">
        <v>26</v>
      </c>
      <c r="E4" s="8" t="n">
        <v>14</v>
      </c>
      <c r="F4" s="8" t="n">
        <v>1</v>
      </c>
      <c r="G4" s="8" t="n">
        <v>10</v>
      </c>
      <c r="H4" s="8" t="n">
        <v>2</v>
      </c>
      <c r="I4" s="8" t="n">
        <v>0</v>
      </c>
      <c r="J4" s="8">
        <f>SUM(C4:I4)</f>
        <v/>
      </c>
    </row>
    <row r="5">
      <c r="A5" s="36" t="inlineStr">
        <is>
          <t>Pseudomonadota</t>
        </is>
      </c>
      <c r="B5" s="8" t="inlineStr">
        <is>
          <t>Bacteria</t>
        </is>
      </c>
      <c r="C5" s="8" t="n">
        <v>71</v>
      </c>
      <c r="D5" s="8" t="n">
        <v>13</v>
      </c>
      <c r="E5" s="8" t="n">
        <v>4</v>
      </c>
      <c r="F5" s="8" t="n">
        <v>3</v>
      </c>
      <c r="G5" s="8" t="n">
        <v>1</v>
      </c>
      <c r="H5" s="8" t="n">
        <v>0</v>
      </c>
      <c r="I5" s="8" t="n">
        <v>0</v>
      </c>
      <c r="J5" s="8">
        <f>SUM(C5:I5)</f>
        <v/>
      </c>
    </row>
    <row r="6">
      <c r="A6" s="36" t="inlineStr">
        <is>
          <t>Methanobacteriota</t>
        </is>
      </c>
      <c r="B6" s="8" t="inlineStr">
        <is>
          <t>Archaea</t>
        </is>
      </c>
      <c r="C6" s="8" t="n">
        <v>1</v>
      </c>
      <c r="D6" s="8" t="n">
        <v>2</v>
      </c>
      <c r="E6" s="8" t="n">
        <v>1</v>
      </c>
      <c r="F6" s="8" t="n">
        <v>0</v>
      </c>
      <c r="G6" s="8" t="n">
        <v>2</v>
      </c>
      <c r="H6" s="8" t="n">
        <v>0</v>
      </c>
      <c r="I6" s="8" t="n">
        <v>0</v>
      </c>
      <c r="J6" s="8">
        <f>SUM(C6:I6)</f>
        <v/>
      </c>
    </row>
    <row r="7">
      <c r="A7" s="36" t="inlineStr">
        <is>
          <t>Thermoproteota</t>
        </is>
      </c>
      <c r="B7" s="8" t="inlineStr">
        <is>
          <t>Archaea</t>
        </is>
      </c>
      <c r="C7" s="8" t="n">
        <v>1</v>
      </c>
      <c r="D7" s="8" t="n">
        <v>0</v>
      </c>
      <c r="E7" s="8" t="n">
        <v>0</v>
      </c>
      <c r="F7" s="8" t="n">
        <v>0</v>
      </c>
      <c r="G7" s="8" t="n">
        <v>0</v>
      </c>
      <c r="H7" s="8" t="n">
        <v>0</v>
      </c>
      <c r="I7" s="8" t="n">
        <v>0</v>
      </c>
      <c r="J7" s="8">
        <f>SUM(C7:I7)</f>
        <v/>
      </c>
    </row>
    <row r="8">
      <c r="A8" s="36" t="inlineStr">
        <is>
          <t>Ascomycota</t>
        </is>
      </c>
      <c r="B8" s="8" t="inlineStr">
        <is>
          <t>Fungi</t>
        </is>
      </c>
      <c r="C8" s="8" t="n">
        <v>479</v>
      </c>
      <c r="D8" s="8" t="n">
        <v>194</v>
      </c>
      <c r="E8" s="8" t="n">
        <v>59</v>
      </c>
      <c r="F8" s="8" t="n">
        <v>9</v>
      </c>
      <c r="G8" s="8" t="n">
        <v>25</v>
      </c>
      <c r="H8" s="8" t="n">
        <v>12</v>
      </c>
      <c r="I8" s="8" t="n">
        <v>2</v>
      </c>
      <c r="J8" s="8">
        <f>SUM(C8:I8)</f>
        <v/>
      </c>
    </row>
    <row r="9">
      <c r="A9" s="36" t="inlineStr">
        <is>
          <t>Basidiomycota</t>
        </is>
      </c>
      <c r="B9" s="8" t="inlineStr">
        <is>
          <t>Fungi</t>
        </is>
      </c>
      <c r="C9" s="8" t="n">
        <v>87</v>
      </c>
      <c r="D9" s="8" t="n">
        <v>24</v>
      </c>
      <c r="E9" s="8" t="n">
        <v>11</v>
      </c>
      <c r="F9" s="8" t="n">
        <v>1</v>
      </c>
      <c r="G9" s="8" t="n">
        <v>6</v>
      </c>
      <c r="H9" s="8" t="n">
        <v>0</v>
      </c>
      <c r="I9" s="8" t="n">
        <v>0</v>
      </c>
      <c r="J9" s="8">
        <f>SUM(C9:I9)</f>
        <v/>
      </c>
    </row>
    <row r="10">
      <c r="A10" s="36" t="inlineStr">
        <is>
          <t>Mucoromycota</t>
        </is>
      </c>
      <c r="B10" s="8" t="inlineStr">
        <is>
          <t>Fungi</t>
        </is>
      </c>
      <c r="C10" s="8" t="n">
        <v>8</v>
      </c>
      <c r="D10" s="8" t="n">
        <v>0</v>
      </c>
      <c r="E10" s="8" t="n">
        <v>2</v>
      </c>
      <c r="F10" s="8" t="n">
        <v>0</v>
      </c>
      <c r="G10" s="8" t="n">
        <v>0</v>
      </c>
      <c r="H10" s="8" t="n">
        <v>1</v>
      </c>
      <c r="I10" s="8" t="n">
        <v>0</v>
      </c>
      <c r="J10" s="8">
        <f>SUM(C10:I10)</f>
        <v/>
      </c>
    </row>
    <row r="11">
      <c r="A11" s="36" t="inlineStr">
        <is>
          <t>Chlorophyta</t>
        </is>
      </c>
      <c r="B11" s="8" t="inlineStr">
        <is>
          <t>Viridiplantae</t>
        </is>
      </c>
      <c r="C11" s="8" t="n">
        <v>48</v>
      </c>
      <c r="D11" s="8" t="n">
        <v>24</v>
      </c>
      <c r="E11" s="8" t="n">
        <v>46</v>
      </c>
      <c r="F11" s="8" t="n">
        <v>1</v>
      </c>
      <c r="G11" s="8" t="n">
        <v>18</v>
      </c>
      <c r="H11" s="8" t="n">
        <v>5</v>
      </c>
      <c r="I11" s="8" t="n">
        <v>0</v>
      </c>
      <c r="J11" s="8">
        <f>SUM(C11:I11)</f>
        <v/>
      </c>
    </row>
    <row r="12">
      <c r="A12" s="36" t="inlineStr">
        <is>
          <t>Streptophyta</t>
        </is>
      </c>
      <c r="B12" s="8" t="inlineStr">
        <is>
          <t>Viridiplantae</t>
        </is>
      </c>
      <c r="C12" s="8" t="n">
        <v>525</v>
      </c>
      <c r="D12" s="8" t="n">
        <v>186</v>
      </c>
      <c r="E12" s="8" t="n">
        <v>214</v>
      </c>
      <c r="F12" s="8" t="n">
        <v>14</v>
      </c>
      <c r="G12" s="8" t="n">
        <v>69</v>
      </c>
      <c r="H12" s="8" t="n">
        <v>5</v>
      </c>
      <c r="I12" s="8" t="n">
        <v>1</v>
      </c>
      <c r="J12" s="8">
        <f>SUM(C12:I12)</f>
        <v/>
      </c>
    </row>
    <row r="13">
      <c r="A13" s="36" t="inlineStr">
        <is>
          <t>Arthropoda</t>
        </is>
      </c>
      <c r="B13" s="8" t="inlineStr">
        <is>
          <t>Animalia</t>
        </is>
      </c>
      <c r="C13" s="8" t="n">
        <v>380</v>
      </c>
      <c r="D13" s="8" t="n">
        <v>115</v>
      </c>
      <c r="E13" s="8" t="n">
        <v>25</v>
      </c>
      <c r="F13" s="8" t="n">
        <v>10</v>
      </c>
      <c r="G13" s="8" t="n">
        <v>33</v>
      </c>
      <c r="H13" s="8" t="n">
        <v>3</v>
      </c>
      <c r="I13" s="8" t="n">
        <v>3</v>
      </c>
      <c r="J13" s="8">
        <f>SUM(C13:I13)</f>
        <v/>
      </c>
    </row>
    <row r="14">
      <c r="A14" s="36" t="inlineStr">
        <is>
          <t>Mollusca</t>
        </is>
      </c>
      <c r="B14" s="8" t="inlineStr">
        <is>
          <t>Animalia</t>
        </is>
      </c>
      <c r="C14" s="8" t="n">
        <v>73</v>
      </c>
      <c r="D14" s="8" t="n">
        <v>32</v>
      </c>
      <c r="E14" s="8" t="n">
        <v>34</v>
      </c>
      <c r="F14" s="8" t="n">
        <v>1</v>
      </c>
      <c r="G14" s="8" t="n">
        <v>25</v>
      </c>
      <c r="H14" s="8" t="n">
        <v>3</v>
      </c>
      <c r="I14" s="8" t="n">
        <v>0</v>
      </c>
      <c r="J14" s="8">
        <f>SUM(C14:I14)</f>
        <v/>
      </c>
    </row>
    <row r="15">
      <c r="A15" s="36" t="inlineStr">
        <is>
          <t>Nematoda</t>
        </is>
      </c>
      <c r="B15" s="8" t="inlineStr">
        <is>
          <t>Animalia</t>
        </is>
      </c>
      <c r="C15" s="8" t="n">
        <v>34</v>
      </c>
      <c r="D15" s="8" t="n">
        <v>17</v>
      </c>
      <c r="E15" s="8" t="n">
        <v>9</v>
      </c>
      <c r="F15" s="8" t="n">
        <v>1</v>
      </c>
      <c r="G15" s="8" t="n">
        <v>6</v>
      </c>
      <c r="H15" s="8" t="n">
        <v>1</v>
      </c>
      <c r="I15" s="8" t="n">
        <v>2</v>
      </c>
      <c r="J15" s="8">
        <f>SUM(C15:I15)</f>
        <v/>
      </c>
    </row>
    <row r="16">
      <c r="A16" s="36" t="inlineStr">
        <is>
          <t>Discosea</t>
        </is>
      </c>
      <c r="B16" s="8" t="inlineStr">
        <is>
          <t>Protists</t>
        </is>
      </c>
      <c r="C16" s="8" t="n">
        <v>5</v>
      </c>
      <c r="D16" s="8" t="n">
        <v>1</v>
      </c>
      <c r="E16" s="8" t="n">
        <v>0</v>
      </c>
      <c r="F16" s="8" t="n">
        <v>0</v>
      </c>
      <c r="G16" s="8" t="n">
        <v>0</v>
      </c>
      <c r="H16" s="8" t="n">
        <v>0</v>
      </c>
      <c r="I16" s="8" t="n">
        <v>0</v>
      </c>
      <c r="J16" s="8">
        <f>SUM(C16:I16)</f>
        <v/>
      </c>
    </row>
    <row r="17">
      <c r="A17" s="36" t="inlineStr">
        <is>
          <t>Evosea</t>
        </is>
      </c>
      <c r="B17" s="8" t="inlineStr">
        <is>
          <t>Protists</t>
        </is>
      </c>
      <c r="C17" s="8" t="n">
        <v>112</v>
      </c>
      <c r="D17" s="8" t="n">
        <v>18</v>
      </c>
      <c r="E17" s="8" t="n">
        <v>18</v>
      </c>
      <c r="F17" s="8" t="n">
        <v>6</v>
      </c>
      <c r="G17" s="8" t="n">
        <v>17</v>
      </c>
      <c r="H17" s="8" t="n">
        <v>1</v>
      </c>
      <c r="I17" s="8" t="n">
        <v>1</v>
      </c>
      <c r="J17" s="8">
        <f>SUM(C17:I17)</f>
        <v/>
      </c>
    </row>
    <row r="18">
      <c r="A18" s="36" t="inlineStr">
        <is>
          <t>Heterolobosea</t>
        </is>
      </c>
      <c r="B18" s="8" t="inlineStr">
        <is>
          <t>Protists</t>
        </is>
      </c>
      <c r="C18" s="8" t="n">
        <v>100</v>
      </c>
      <c r="D18" s="8" t="n">
        <v>26</v>
      </c>
      <c r="E18" s="8" t="n">
        <v>13</v>
      </c>
      <c r="F18" s="8" t="n">
        <v>16</v>
      </c>
      <c r="G18" s="8" t="n">
        <v>34</v>
      </c>
      <c r="H18" s="8" t="n">
        <v>8</v>
      </c>
      <c r="I18" s="8" t="n">
        <v>2</v>
      </c>
      <c r="J18" s="8">
        <f>SUM(C18:I18)</f>
        <v/>
      </c>
    </row>
    <row r="19">
      <c r="A19" s="36" t="inlineStr">
        <is>
          <t>All phyla</t>
        </is>
      </c>
      <c r="C19" s="36">
        <f>SUM(C3:C18)</f>
        <v/>
      </c>
      <c r="D19" s="36">
        <f>SUM(D3:D18)</f>
        <v/>
      </c>
      <c r="E19" s="36">
        <f>SUM(E3:E18)</f>
        <v/>
      </c>
      <c r="F19" s="36">
        <f>SUM(F3:F18)</f>
        <v/>
      </c>
      <c r="G19" s="36">
        <f>SUM(G3:G18)</f>
        <v/>
      </c>
      <c r="H19" s="36">
        <f>SUM(H3:H18)</f>
        <v/>
      </c>
      <c r="I19" s="36">
        <f>SUM(I3:I18)</f>
        <v/>
      </c>
      <c r="J19" s="36">
        <f>SUM(J3:J18)</f>
        <v/>
      </c>
    </row>
  </sheetData>
  <mergeCells count="1">
    <mergeCell ref="A1:J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outlineLevelCol="0"/>
  <cols>
    <col width="110" customWidth="1" min="1" max="1"/>
  </cols>
  <sheetData>
    <row r="1">
      <c r="A1" s="23" t="inlineStr">
        <is>
          <t>Supplementary Table S10. ClimGrass microbial benchmark studies</t>
        </is>
      </c>
    </row>
    <row r="2"/>
    <row r="3">
      <c r="A3" s="24" t="inlineStr">
        <is>
          <t>Independent published studies from the same ClimGrass experimental platform (Raumberg-Gumpenstein, Austria), used as qualitative site-level benchmarks for the lipid-derived treatment patterns. These studies measure different dimensions of community structure and are not paired sample-by-sample with the lipidomics data, so they support biological plausibility rather than quantitative validation.</t>
        </is>
      </c>
    </row>
    <row r="4">
      <c r="A4" s="24" t="inlineStr">
        <is>
          <t>Note: 16S/ITS and the nitrifier functional-gene survey constrain only the microbial community; they provide no benchmark for the Animalia or Protists fractions.</t>
        </is>
      </c>
    </row>
    <row r="5">
      <c r="A5" s="24" t="inlineStr">
        <is>
          <t>Frozen 2026-06-09. Transcribed verbatim from soilmasst-v4_7-supplementary.md.</t>
        </is>
      </c>
    </row>
    <row r="6"/>
    <row r="7">
      <c r="A7" s="24" t="inlineStr">
        <is>
          <t>Strict-16 update 2026-08-12: 'Protozoa' conformed to the locked ecological_group label 'Protists' (our composition fraction; consistent with Fig 5 v2 and Table S8). Taxon names in the 'Main finding' column are preserved verbatim as reported by the cited studies (Proteobacteria, Verrucomicrobia, Actinobacteria / Actinobacteriota, Acidobacteria, Ascomycota) and are NOT remapped to NCBI phyla. This is a literature benchmark table with no strict-taxonomy recomputation.</t>
        </is>
      </c>
    </row>
  </sheetData>
  <mergeCells count="4">
    <mergeCell ref="A7:H7"/>
    <mergeCell ref="A4:H4"/>
    <mergeCell ref="A3:H3"/>
    <mergeCell ref="A5:H5"/>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outlineLevelCol="0"/>
  <cols>
    <col width="23" customWidth="1" min="1" max="1"/>
    <col width="34" customWidth="1" min="2" max="2"/>
    <col width="41" customWidth="1" min="3" max="3"/>
    <col width="52" customWidth="1" min="4" max="4"/>
    <col width="36" customWidth="1" min="5" max="5"/>
  </cols>
  <sheetData>
    <row r="1">
      <c r="A1" s="23" t="inlineStr">
        <is>
          <t>Supplementary Table S10. ClimGrass microbial benchmark studies</t>
        </is>
      </c>
    </row>
    <row r="2"/>
    <row r="3">
      <c r="A3" s="28" t="inlineStr">
        <is>
          <t>Study</t>
        </is>
      </c>
      <c r="B3" s="28" t="inlineStr">
        <is>
          <t>Molecular target</t>
        </is>
      </c>
      <c r="C3" s="28" t="inlineStr">
        <is>
          <t>Treatments</t>
        </is>
      </c>
      <c r="D3" s="28" t="inlineStr">
        <is>
          <t>Main finding</t>
        </is>
      </c>
      <c r="E3" s="28" t="inlineStr">
        <is>
          <t>Relevance to lipid atlas</t>
        </is>
      </c>
    </row>
    <row r="4">
      <c r="A4" s="29" t="inlineStr">
        <is>
          <t>Deltedesco et al. 2020</t>
        </is>
      </c>
      <c r="B4" s="30" t="inlineStr">
        <is>
          <t>16S V3-V4, ITS2</t>
        </is>
      </c>
      <c r="C4" s="30" t="inlineStr">
        <is>
          <t>Climate manipulation</t>
        </is>
      </c>
      <c r="D4" s="30" t="inlineStr">
        <is>
          <t>Bacteria dominated by Proteobacteria, Verrucomicrobia, Actinobacteria, Acidobacteria; fungi by Ascomycota</t>
        </is>
      </c>
      <c r="E4" s="30" t="inlineStr">
        <is>
          <t>Baseline phylum-level plausibility</t>
        </is>
      </c>
    </row>
    <row r="5">
      <c r="A5" s="29" t="inlineStr">
        <is>
          <t>Metze et al. 2023</t>
        </is>
      </c>
      <c r="B5" s="30" t="inlineStr">
        <is>
          <t>16S + ddPCR + 18O-qSIP</t>
        </is>
      </c>
      <c r="C5" s="30" t="inlineStr">
        <is>
          <t>Ambient, drought, future, future+drought</t>
        </is>
      </c>
      <c r="D5" s="30" t="inlineStr">
        <is>
          <t>Drought halts growth in &gt;90% of bacterial/archaeal taxa; active drought community dominated by Actinobacteriota</t>
        </is>
      </c>
      <c r="E5" s="30" t="inlineStr">
        <is>
          <t>Supports drought as dominant driver</t>
        </is>
      </c>
    </row>
    <row r="6">
      <c r="A6" s="29" t="inlineStr">
        <is>
          <t>Canarini et al. 2024</t>
        </is>
      </c>
      <c r="B6" s="30" t="inlineStr">
        <is>
          <t>2H-FAME-SIP + 18O-DNA-SIP</t>
        </is>
      </c>
      <c r="C6" s="30" t="inlineStr">
        <is>
          <t>Future climate, drought</t>
        </is>
      </c>
      <c r="D6" s="30" t="inlineStr">
        <is>
          <t>Fungi remain active and increase storage-compound synthesis during drought</t>
        </is>
      </c>
      <c r="E6" s="30" t="inlineStr">
        <is>
          <t>Supports persistent fungal signal</t>
        </is>
      </c>
    </row>
    <row r="7">
      <c r="A7" s="29" t="inlineStr">
        <is>
          <t>Seneca et al. 2020</t>
        </is>
      </c>
      <c r="B7" s="30" t="inlineStr">
        <is>
          <t>amoA / nxrB genes and transcripts</t>
        </is>
      </c>
      <c r="C7" s="30" t="inlineStr">
        <is>
          <t>Warming, eCO2, drought</t>
        </is>
      </c>
      <c r="D7" s="30" t="inlineStr">
        <is>
          <t>Nitrifier communities unresponsive to warming/eCO2, strongly affected by drought</t>
        </is>
      </c>
      <c r="E7" s="30" t="inlineStr">
        <is>
          <t>Supports drought &gt; warming pattern</t>
        </is>
      </c>
    </row>
  </sheetData>
  <mergeCells count="1">
    <mergeCell ref="A1:E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outlineLevelCol="0"/>
  <cols>
    <col width="118" customWidth="1" min="1" max="1"/>
  </cols>
  <sheetData>
    <row r="1">
      <c r="A1" s="32" t="inlineStr">
        <is>
          <t>Supplementary Table S11. Cross-method fingerprint validation - dendrogram-reconstruction Mantel r (strict 16 phyla)</t>
        </is>
      </c>
    </row>
    <row r="2">
      <c r="A2" s="11" t="inlineStr">
        <is>
          <t>Per-method dendrogram-reconstruction Mantel r at each top-K feature level, computed on the strict 16-phylum lipid distance matrices (Supplementary Figure 8 strict rerun). For each method and K, the K top-ranked features rebuild the phylum dendrogram and its cophenetic distances are Mantel-correlated against the full-feature dendrogram; r approaching 1 means the reduced fingerprint reconstructs the full topology.</t>
        </is>
      </c>
    </row>
    <row r="3">
      <c r="A3" s="11" t="inlineStr">
        <is>
          <t>Random-K-features null: for each K, features are drawn at random and the reconstruction Mantel r recomputed. The 'Mantel_reconstruction' sheet lists the null mean and 95th percentile beneath the methods; the 'Random_null' sheet gives mean, SD and 5th/95th percentiles with the approximate union feature count. A method beats the null when its r sits above the null 95th percentile.</t>
        </is>
      </c>
    </row>
    <row r="4">
      <c r="A4" s="11" t="inlineStr">
        <is>
          <t>SIMPER and SCBD are exact strict recomputations. CAP is a bounded best-fit reimplementation and L1 stability a declared reimplementation (their exact historical configurations are unrecovered), so CAP and L1 absolute values are reimplementations, not reproductions.</t>
        </is>
      </c>
    </row>
    <row r="5">
      <c r="A5" s="11" t="inlineStr">
        <is>
          <t>This within-manuscript Supplementary Table S11 (cross-method validation) is distinct from the external 'Samrat et al. 2025, Supplementary Table S10' (RIE factors) that underpins Table S7.</t>
        </is>
      </c>
    </row>
    <row r="6">
      <c r="A6" s="33" t="inlineStr">
        <is>
          <t>Source: outputs/analysis/ncbi-phylum-2026-08-04-v1/suppfig8_cross_method_strict16_2026-08-11_v1/ (panel_a_mantel_curves.csv, panel_a_random_null.csv). Producer: paper2_repro/scripts/build_table_s11_strict16.py.</t>
        </is>
      </c>
    </row>
  </sheetData>
  <mergeCells count="6">
    <mergeCell ref="A1:H1"/>
    <mergeCell ref="A4:H4"/>
    <mergeCell ref="A3:H3"/>
    <mergeCell ref="A2:H2"/>
    <mergeCell ref="A5:H5"/>
    <mergeCell ref="A6:H6"/>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outlineLevelCol="0"/>
  <cols>
    <col width="22" customWidth="1" min="1" max="1"/>
    <col width="10" customWidth="1" min="2" max="2"/>
    <col width="10" customWidth="1" min="3" max="3"/>
    <col width="10" customWidth="1" min="4" max="4"/>
    <col width="10" customWidth="1" min="5" max="5"/>
    <col width="10" customWidth="1" min="6" max="6"/>
  </cols>
  <sheetData>
    <row r="1">
      <c r="A1" s="34" t="inlineStr">
        <is>
          <t>Supplementary Table S11a. Dendrogram-reconstruction Mantel r by method and top-K</t>
        </is>
      </c>
    </row>
    <row r="2">
      <c r="A2" s="12" t="inlineStr">
        <is>
          <t>Method</t>
        </is>
      </c>
      <c r="B2" s="12" t="inlineStr">
        <is>
          <t>K = 100</t>
        </is>
      </c>
      <c r="C2" s="12" t="inlineStr">
        <is>
          <t>K = 250</t>
        </is>
      </c>
      <c r="D2" s="12" t="inlineStr">
        <is>
          <t>K = 500</t>
        </is>
      </c>
      <c r="E2" s="12" t="inlineStr">
        <is>
          <t>K = 1000</t>
        </is>
      </c>
      <c r="F2" s="12" t="inlineStr">
        <is>
          <t>K = 2500</t>
        </is>
      </c>
    </row>
    <row r="3">
      <c r="A3" s="36" t="inlineStr">
        <is>
          <t>SIMPER</t>
        </is>
      </c>
      <c r="B3" s="38" t="n">
        <v>0.984</v>
      </c>
      <c r="C3" s="38" t="n">
        <v>0.991</v>
      </c>
      <c r="D3" s="38" t="n">
        <v>0.995</v>
      </c>
      <c r="E3" s="38" t="n">
        <v>0.998</v>
      </c>
      <c r="F3" s="38" t="n">
        <v>0.999</v>
      </c>
    </row>
    <row r="4">
      <c r="A4" s="36" t="inlineStr">
        <is>
          <t>SCBD</t>
        </is>
      </c>
      <c r="B4" s="38" t="n">
        <v>0.986</v>
      </c>
      <c r="C4" s="38" t="n">
        <v>0.994</v>
      </c>
      <c r="D4" s="38" t="n">
        <v>0.997</v>
      </c>
      <c r="E4" s="38" t="n">
        <v>0.999</v>
      </c>
      <c r="F4" s="38" t="n">
        <v>1</v>
      </c>
    </row>
    <row r="5">
      <c r="A5" s="36" t="inlineStr">
        <is>
          <t>CAP</t>
        </is>
      </c>
      <c r="B5" s="38" t="n">
        <v>0.898</v>
      </c>
      <c r="C5" s="38" t="n">
        <v>0.896</v>
      </c>
      <c r="D5" s="38" t="n">
        <v>0.918</v>
      </c>
      <c r="E5" s="38" t="n">
        <v>0.954</v>
      </c>
      <c r="F5" s="38" t="n">
        <v>0.972</v>
      </c>
    </row>
    <row r="6">
      <c r="A6" s="36" t="inlineStr">
        <is>
          <t>L1 stability</t>
        </is>
      </c>
      <c r="B6" s="38" t="n">
        <v>0.702</v>
      </c>
      <c r="C6" s="38" t="n">
        <v>0.741</v>
      </c>
      <c r="D6" s="38" t="n">
        <v>0.792</v>
      </c>
      <c r="E6" s="38" t="n">
        <v>0.8110000000000001</v>
      </c>
      <c r="F6" s="38" t="n">
        <v>0.982</v>
      </c>
    </row>
    <row r="7">
      <c r="A7" s="10" t="inlineStr">
        <is>
          <t>Random-K null (mean)</t>
        </is>
      </c>
      <c r="B7" s="42" t="n">
        <v>0.852</v>
      </c>
      <c r="C7" s="42" t="n">
        <v>0.924</v>
      </c>
      <c r="D7" s="42" t="n">
        <v>0.96</v>
      </c>
      <c r="E7" s="42" t="n">
        <v>0.981</v>
      </c>
      <c r="F7" s="42" t="n">
        <v>0.994</v>
      </c>
    </row>
    <row r="8">
      <c r="A8" s="10" t="inlineStr">
        <is>
          <t>Random-K null (95th pct)</t>
        </is>
      </c>
      <c r="B8" s="42" t="n">
        <v>0.917</v>
      </c>
      <c r="C8" s="42" t="n">
        <v>0.962</v>
      </c>
      <c r="D8" s="42" t="n">
        <v>0.98</v>
      </c>
      <c r="E8" s="42" t="n">
        <v>0.991</v>
      </c>
      <c r="F8" s="42" t="n">
        <v>0.997</v>
      </c>
    </row>
  </sheetData>
  <mergeCells count="1">
    <mergeCell ref="A1:F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outlineLevelCol="0"/>
  <cols>
    <col width="14" customWidth="1" min="1" max="1"/>
    <col width="16" customWidth="1" min="2" max="2"/>
    <col width="10" customWidth="1" min="3" max="3"/>
    <col width="10" customWidth="1" min="4" max="4"/>
    <col width="12" customWidth="1" min="5" max="5"/>
    <col width="12" customWidth="1" min="6" max="6"/>
  </cols>
  <sheetData>
    <row r="1">
      <c r="A1" s="34" t="inlineStr">
        <is>
          <t>Supplementary Table S11b. Random-K-features null distribution</t>
        </is>
      </c>
    </row>
    <row r="2">
      <c r="A2" s="12" t="inlineStr">
        <is>
          <t>K (per phylum)</t>
        </is>
      </c>
      <c r="B2" s="12" t="inlineStr">
        <is>
          <t>approx. K (union)</t>
        </is>
      </c>
      <c r="C2" s="12" t="inlineStr">
        <is>
          <t>null mean</t>
        </is>
      </c>
      <c r="D2" s="12" t="inlineStr">
        <is>
          <t>null SD</t>
        </is>
      </c>
      <c r="E2" s="12" t="inlineStr">
        <is>
          <t>null 5th pct</t>
        </is>
      </c>
      <c r="F2" s="12" t="inlineStr">
        <is>
          <t>null 95th pct</t>
        </is>
      </c>
    </row>
    <row r="3">
      <c r="A3" s="8" t="n">
        <v>100</v>
      </c>
      <c r="B3" s="8" t="n">
        <v>1574</v>
      </c>
      <c r="C3" s="38" t="n">
        <v>0.852</v>
      </c>
      <c r="D3" s="38" t="n">
        <v>0.046</v>
      </c>
      <c r="E3" s="38" t="n">
        <v>0.769</v>
      </c>
      <c r="F3" s="38" t="n">
        <v>0.917</v>
      </c>
    </row>
    <row r="4">
      <c r="A4" s="8" t="n">
        <v>250</v>
      </c>
      <c r="B4" s="8" t="n">
        <v>3839</v>
      </c>
      <c r="C4" s="38" t="n">
        <v>0.924</v>
      </c>
      <c r="D4" s="38" t="n">
        <v>0.029</v>
      </c>
      <c r="E4" s="38" t="n">
        <v>0.872</v>
      </c>
      <c r="F4" s="38" t="n">
        <v>0.962</v>
      </c>
    </row>
    <row r="5">
      <c r="A5" s="8" t="n">
        <v>500</v>
      </c>
      <c r="B5" s="8" t="n">
        <v>7373</v>
      </c>
      <c r="C5" s="38" t="n">
        <v>0.96</v>
      </c>
      <c r="D5" s="38" t="n">
        <v>0.017</v>
      </c>
      <c r="E5" s="38" t="n">
        <v>0.926</v>
      </c>
      <c r="F5" s="38" t="n">
        <v>0.98</v>
      </c>
    </row>
    <row r="6">
      <c r="A6" s="8" t="n">
        <v>1000</v>
      </c>
      <c r="B6" s="8" t="n">
        <v>13615</v>
      </c>
      <c r="C6" s="38" t="n">
        <v>0.981</v>
      </c>
      <c r="D6" s="38" t="n">
        <v>0.008999999999999999</v>
      </c>
      <c r="E6" s="38" t="n">
        <v>0.964</v>
      </c>
      <c r="F6" s="38" t="n">
        <v>0.991</v>
      </c>
    </row>
    <row r="7">
      <c r="A7" s="8" t="n">
        <v>2500</v>
      </c>
      <c r="B7" s="8" t="n">
        <v>27082</v>
      </c>
      <c r="C7" s="38" t="n">
        <v>0.994</v>
      </c>
      <c r="D7" s="38" t="n">
        <v>0.003</v>
      </c>
      <c r="E7" s="38" t="n">
        <v>0.989</v>
      </c>
      <c r="F7" s="38" t="n">
        <v>0.997</v>
      </c>
    </row>
  </sheetData>
  <mergeCells count="1">
    <mergeCell ref="A1:F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outlineLevelCol="0"/>
  <cols>
    <col width="118" customWidth="1" min="1" max="1"/>
  </cols>
  <sheetData>
    <row r="1">
      <c r="A1" s="32" t="inlineStr">
        <is>
          <t>Supplementary Table S12. Cross-method consensus features per strict phylum</t>
        </is>
      </c>
    </row>
    <row r="2">
      <c r="A2" s="11" t="inlineStr">
        <is>
          <t>For each of the 16 strict analysis phyla, the number of biomarker features selected in agreement by all four fingerprint methods (SIMPER, SCBD, CAP, L1 stability), by at least three, by at least two, and by exactly one method, out of the total features tested. Higher all-four counts indicate method-invariant, robustly diagnostic chemistry.</t>
        </is>
      </c>
    </row>
    <row r="3">
      <c r="A3" s="11" t="inlineStr">
        <is>
          <t>Re-derived on the strict 16-phylum partition (Supplementary Figure 8 strict rerun), NOT relabelled from the legacy scheme: consensus membership is defined against the strict units, so split units (Discosea, Evosea, Heterolobosea) and merged units (Methanobacteriota, Streptophyta) carry their own consensus counts. The amoebozoan protists Evosea and Discosea hold the most all-four-consensus features.</t>
        </is>
      </c>
    </row>
    <row r="4">
      <c r="A4" s="11" t="inlineStr">
        <is>
          <t>8 of 16 phyla have zero all-four-consensus features; their diagnostic features are recovered by fewer methods (see the &gt;=2 / &gt;=3 columns). Kingdom labels follow the locked ecological_group vocabulary (Viridiplantae, Protists). CAP and L1 stability are declared reimplementations (see Table S11), so consensus counts involving them are reimplementation-based.</t>
        </is>
      </c>
    </row>
    <row r="5">
      <c r="A5" s="33" t="inlineStr">
        <is>
          <t>Source: outputs/analysis/ncbi-phylum-2026-08-04-v1/suppfig8_cross_method_strict16_2026-08-11_v1/panel_d_consensus_per_phylum.csv. Producer: paper2_repro/scripts/build_table_s12_strict16.py.</t>
        </is>
      </c>
    </row>
  </sheetData>
  <mergeCells count="5">
    <mergeCell ref="A1:H1"/>
    <mergeCell ref="A4:H4"/>
    <mergeCell ref="A3:H3"/>
    <mergeCell ref="A2:H2"/>
    <mergeCell ref="A5:H5"/>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outlineLevelCol="0"/>
  <cols>
    <col width="16" customWidth="1" min="1" max="1"/>
    <col width="14" customWidth="1" min="2" max="2"/>
    <col width="13" customWidth="1" min="3" max="3"/>
    <col width="15" customWidth="1" min="4" max="4"/>
    <col width="13" customWidth="1" min="5" max="5"/>
    <col width="13" customWidth="1" min="6" max="6"/>
    <col width="13" customWidth="1" min="7" max="7"/>
  </cols>
  <sheetData>
    <row r="1">
      <c r="A1" s="34" t="inlineStr">
        <is>
          <t>Supplementary Table S12. Cross-method consensus features per strict phylum</t>
        </is>
      </c>
    </row>
    <row r="2">
      <c r="A2" s="12" t="inlineStr">
        <is>
          <t>Phylum</t>
        </is>
      </c>
      <c r="B2" s="12" t="inlineStr">
        <is>
          <t>Kingdom</t>
        </is>
      </c>
      <c r="C2" s="12" t="inlineStr">
        <is>
          <t>Total features</t>
        </is>
      </c>
      <c r="D2" s="12" t="inlineStr">
        <is>
          <t>All-4 consensus</t>
        </is>
      </c>
      <c r="E2" s="12" t="inlineStr">
        <is>
          <t>&gt;=3 methods</t>
        </is>
      </c>
      <c r="F2" s="12" t="inlineStr">
        <is>
          <t>&gt;=2 methods</t>
        </is>
      </c>
      <c r="G2" s="12" t="inlineStr">
        <is>
          <t>Only 1 method</t>
        </is>
      </c>
    </row>
    <row r="3">
      <c r="A3" s="36" t="inlineStr">
        <is>
          <t>Evosea</t>
        </is>
      </c>
      <c r="B3" s="8" t="inlineStr">
        <is>
          <t>Protists</t>
        </is>
      </c>
      <c r="C3" s="8" t="n">
        <v>1271</v>
      </c>
      <c r="D3" s="8" t="n">
        <v>36</v>
      </c>
      <c r="E3" s="8" t="n">
        <v>212</v>
      </c>
      <c r="F3" s="8" t="n">
        <v>481</v>
      </c>
      <c r="G3" s="8" t="n">
        <v>790</v>
      </c>
    </row>
    <row r="4">
      <c r="A4" s="36" t="inlineStr">
        <is>
          <t>Discosea</t>
        </is>
      </c>
      <c r="B4" s="8" t="inlineStr">
        <is>
          <t>Protists</t>
        </is>
      </c>
      <c r="C4" s="8" t="n">
        <v>1415</v>
      </c>
      <c r="D4" s="8" t="n">
        <v>25</v>
      </c>
      <c r="E4" s="8" t="n">
        <v>99</v>
      </c>
      <c r="F4" s="8" t="n">
        <v>461</v>
      </c>
      <c r="G4" s="8" t="n">
        <v>954</v>
      </c>
    </row>
    <row r="5">
      <c r="A5" s="36" t="inlineStr">
        <is>
          <t>Mucoromycota</t>
        </is>
      </c>
      <c r="B5" s="8" t="inlineStr">
        <is>
          <t>Fungi</t>
        </is>
      </c>
      <c r="C5" s="8" t="n">
        <v>1497</v>
      </c>
      <c r="D5" s="8" t="n">
        <v>5</v>
      </c>
      <c r="E5" s="8" t="n">
        <v>95</v>
      </c>
      <c r="F5" s="8" t="n">
        <v>403</v>
      </c>
      <c r="G5" s="8" t="n">
        <v>1094</v>
      </c>
    </row>
    <row r="6">
      <c r="A6" s="36" t="inlineStr">
        <is>
          <t>Ascomycota</t>
        </is>
      </c>
      <c r="B6" s="8" t="inlineStr">
        <is>
          <t>Fungi</t>
        </is>
      </c>
      <c r="C6" s="8" t="n">
        <v>1522</v>
      </c>
      <c r="D6" s="8" t="n">
        <v>4</v>
      </c>
      <c r="E6" s="8" t="n">
        <v>74</v>
      </c>
      <c r="F6" s="8" t="n">
        <v>400</v>
      </c>
      <c r="G6" s="8" t="n">
        <v>1122</v>
      </c>
    </row>
    <row r="7">
      <c r="A7" s="36" t="inlineStr">
        <is>
          <t>Methanobacteriota</t>
        </is>
      </c>
      <c r="B7" s="8" t="inlineStr">
        <is>
          <t>Archaea</t>
        </is>
      </c>
      <c r="C7" s="8" t="n">
        <v>1671</v>
      </c>
      <c r="D7" s="8" t="n">
        <v>4</v>
      </c>
      <c r="E7" s="8" t="n">
        <v>50</v>
      </c>
      <c r="F7" s="8" t="n">
        <v>275</v>
      </c>
      <c r="G7" s="8" t="n">
        <v>1396</v>
      </c>
    </row>
    <row r="8">
      <c r="A8" s="36" t="inlineStr">
        <is>
          <t>Bacillota</t>
        </is>
      </c>
      <c r="B8" s="8" t="inlineStr">
        <is>
          <t>Bacteria</t>
        </is>
      </c>
      <c r="C8" s="8" t="n">
        <v>1499</v>
      </c>
      <c r="D8" s="8" t="n">
        <v>3</v>
      </c>
      <c r="E8" s="8" t="n">
        <v>107</v>
      </c>
      <c r="F8" s="8" t="n">
        <v>391</v>
      </c>
      <c r="G8" s="8" t="n">
        <v>1108</v>
      </c>
    </row>
    <row r="9">
      <c r="A9" s="36" t="inlineStr">
        <is>
          <t>Streptophyta</t>
        </is>
      </c>
      <c r="B9" s="8" t="inlineStr">
        <is>
          <t>Viridiplantae</t>
        </is>
      </c>
      <c r="C9" s="8" t="n">
        <v>1523</v>
      </c>
      <c r="D9" s="8" t="n">
        <v>2</v>
      </c>
      <c r="E9" s="8" t="n">
        <v>40</v>
      </c>
      <c r="F9" s="8" t="n">
        <v>435</v>
      </c>
      <c r="G9" s="8" t="n">
        <v>1088</v>
      </c>
    </row>
    <row r="10">
      <c r="A10" s="36" t="inlineStr">
        <is>
          <t>Heterolobosea</t>
        </is>
      </c>
      <c r="B10" s="8" t="inlineStr">
        <is>
          <t>Protists</t>
        </is>
      </c>
      <c r="C10" s="8" t="n">
        <v>1443</v>
      </c>
      <c r="D10" s="8" t="n">
        <v>1</v>
      </c>
      <c r="E10" s="8" t="n">
        <v>145</v>
      </c>
      <c r="F10" s="8" t="n">
        <v>411</v>
      </c>
      <c r="G10" s="8" t="n">
        <v>1032</v>
      </c>
    </row>
    <row r="11">
      <c r="A11" s="36" t="inlineStr">
        <is>
          <t>Thermoproteota</t>
        </is>
      </c>
      <c r="B11" s="8" t="inlineStr">
        <is>
          <t>Archaea</t>
        </is>
      </c>
      <c r="C11" s="8" t="n">
        <v>1574</v>
      </c>
      <c r="D11" s="8" t="n">
        <v>0</v>
      </c>
      <c r="E11" s="8" t="n">
        <v>110</v>
      </c>
      <c r="F11" s="8" t="n">
        <v>316</v>
      </c>
      <c r="G11" s="8" t="n">
        <v>1258</v>
      </c>
    </row>
    <row r="12">
      <c r="A12" s="36" t="inlineStr">
        <is>
          <t>Basidiomycota</t>
        </is>
      </c>
      <c r="B12" s="8" t="inlineStr">
        <is>
          <t>Fungi</t>
        </is>
      </c>
      <c r="C12" s="8" t="n">
        <v>1541</v>
      </c>
      <c r="D12" s="8" t="n">
        <v>0</v>
      </c>
      <c r="E12" s="8" t="n">
        <v>81</v>
      </c>
      <c r="F12" s="8" t="n">
        <v>378</v>
      </c>
      <c r="G12" s="8" t="n">
        <v>1163</v>
      </c>
    </row>
    <row r="13">
      <c r="A13" s="36" t="inlineStr">
        <is>
          <t>Actinomycetota</t>
        </is>
      </c>
      <c r="B13" s="8" t="inlineStr">
        <is>
          <t>Bacteria</t>
        </is>
      </c>
      <c r="C13" s="8" t="n">
        <v>1628</v>
      </c>
      <c r="D13" s="8" t="n">
        <v>0</v>
      </c>
      <c r="E13" s="8" t="n">
        <v>60</v>
      </c>
      <c r="F13" s="8" t="n">
        <v>312</v>
      </c>
      <c r="G13" s="8" t="n">
        <v>1316</v>
      </c>
    </row>
    <row r="14">
      <c r="A14" s="36" t="inlineStr">
        <is>
          <t>Arthropoda</t>
        </is>
      </c>
      <c r="B14" s="8" t="inlineStr">
        <is>
          <t>Animalia</t>
        </is>
      </c>
      <c r="C14" s="8" t="n">
        <v>1522</v>
      </c>
      <c r="D14" s="8" t="n">
        <v>0</v>
      </c>
      <c r="E14" s="8" t="n">
        <v>55</v>
      </c>
      <c r="F14" s="8" t="n">
        <v>423</v>
      </c>
      <c r="G14" s="8" t="n">
        <v>1099</v>
      </c>
    </row>
    <row r="15">
      <c r="A15" s="36" t="inlineStr">
        <is>
          <t>Mollusca</t>
        </is>
      </c>
      <c r="B15" s="8" t="inlineStr">
        <is>
          <t>Animalia</t>
        </is>
      </c>
      <c r="C15" s="8" t="n">
        <v>1518</v>
      </c>
      <c r="D15" s="8" t="n">
        <v>0</v>
      </c>
      <c r="E15" s="8" t="n">
        <v>55</v>
      </c>
      <c r="F15" s="8" t="n">
        <v>427</v>
      </c>
      <c r="G15" s="8" t="n">
        <v>1091</v>
      </c>
    </row>
    <row r="16">
      <c r="A16" s="36" t="inlineStr">
        <is>
          <t>Pseudomonadota</t>
        </is>
      </c>
      <c r="B16" s="8" t="inlineStr">
        <is>
          <t>Bacteria</t>
        </is>
      </c>
      <c r="C16" s="8" t="n">
        <v>1583</v>
      </c>
      <c r="D16" s="8" t="n">
        <v>0</v>
      </c>
      <c r="E16" s="8" t="n">
        <v>52</v>
      </c>
      <c r="F16" s="8" t="n">
        <v>365</v>
      </c>
      <c r="G16" s="8" t="n">
        <v>1218</v>
      </c>
    </row>
    <row r="17">
      <c r="A17" s="36" t="inlineStr">
        <is>
          <t>Chlorophyta</t>
        </is>
      </c>
      <c r="B17" s="8" t="inlineStr">
        <is>
          <t>Viridiplantae</t>
        </is>
      </c>
      <c r="C17" s="8" t="n">
        <v>1522</v>
      </c>
      <c r="D17" s="8" t="n">
        <v>0</v>
      </c>
      <c r="E17" s="8" t="n">
        <v>47</v>
      </c>
      <c r="F17" s="8" t="n">
        <v>431</v>
      </c>
      <c r="G17" s="8" t="n">
        <v>1091</v>
      </c>
    </row>
    <row r="18">
      <c r="A18" s="36" t="inlineStr">
        <is>
          <t>Nematoda</t>
        </is>
      </c>
      <c r="B18" s="8" t="inlineStr">
        <is>
          <t>Animalia</t>
        </is>
      </c>
      <c r="C18" s="8" t="n">
        <v>1601</v>
      </c>
      <c r="D18" s="8" t="n">
        <v>0</v>
      </c>
      <c r="E18" s="8" t="n">
        <v>25</v>
      </c>
      <c r="F18" s="8" t="n">
        <v>374</v>
      </c>
      <c r="G18" s="8" t="n">
        <v>1227</v>
      </c>
    </row>
    <row r="19">
      <c r="A19" s="36" t="inlineStr">
        <is>
          <t>All phyla</t>
        </is>
      </c>
      <c r="C19" s="36">
        <f>SUM(C3:C18)</f>
        <v/>
      </c>
      <c r="D19" s="36">
        <f>SUM(D3:D18)</f>
        <v/>
      </c>
      <c r="E19" s="36">
        <f>SUM(E3:E18)</f>
        <v/>
      </c>
      <c r="F19" s="36">
        <f>SUM(F3:F18)</f>
        <v/>
      </c>
      <c r="G19" s="36">
        <f>SUM(G3:G18)</f>
        <v/>
      </c>
    </row>
  </sheetData>
  <mergeCells count="1">
    <mergeCell ref="A1:G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outlineLevelCol="0"/>
  <cols>
    <col width="118" customWidth="1" min="1" max="1"/>
  </cols>
  <sheetData>
    <row r="1">
      <c r="A1" s="32" t="inlineStr">
        <is>
          <t>Supplementary Table S13. Leave-one-out classification accuracy (strict 16 phyla)</t>
        </is>
      </c>
    </row>
    <row r="2">
      <c r="A2" s="11" t="inlineStr">
        <is>
          <t>Leave-one-out 1-nearest-phylum classification accuracy over the 164 strict-labelled samples. 'Accuracy_by_method_K' gives accuracy for each fingerprint method (SIMPER, SCBD, CAP, L1 stability) at each top-K feature level (Supplementary Figure 8 strict rerun). 'Accuracy_by_phylum' gives per-phylum accuracy at the full substrate - the 64.6% (106/164) 16-phylum NNLS classifier behind Supplementary Figure 4.</t>
        </is>
      </c>
    </row>
    <row r="3">
      <c r="A3" s="11" t="inlineStr">
        <is>
          <t>Full-substrate baseline (all features, 16-phylum NNLS): 64.6% (106/164). Variance-based methods (SIMPER, SCBD) match the baseline from moderate K; the supervised L1 stability exceeds it; CAP (a bounded reimplementation) underperforms.</t>
        </is>
      </c>
    </row>
    <row r="4">
      <c r="A4" s="11" t="inlineStr">
        <is>
          <t>DECLARED REIMPLEMENTATION: the exact submitted classifier/producer (reported 52.8%) is unrecovered, so these absolute accuracies are a named NNLS/method reimplementation on the strict 16-phylum label set, NOT a reproduction of the submitted values. CAP and L1 stability additionally carry the reimplementation caveats noted in Table S11. Kingdom labels follow the locked ecological_group vocabulary (Viridiplantae, Protists).</t>
        </is>
      </c>
    </row>
    <row r="5">
      <c r="A5" s="33" t="inlineStr">
        <is>
          <t>Source: outputs/analysis/ncbi-phylum-2026-08-04-v1/suppfig8_cross_method_strict16_2026-08-11_v1/panel_b_loo_accuracy.csv and suppfig4_loo_strict16_2026-08-11_v1/loo_per_unit_strict16.csv. Producer: paper2_repro/scripts/build_table_s13_strict16.py.</t>
        </is>
      </c>
    </row>
  </sheetData>
  <mergeCells count="5">
    <mergeCell ref="A1:H1"/>
    <mergeCell ref="A4:H4"/>
    <mergeCell ref="A3:H3"/>
    <mergeCell ref="A2:H2"/>
    <mergeCell ref="A5:H5"/>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outlineLevelCol="0"/>
  <cols>
    <col width="16" customWidth="1" min="1" max="1"/>
    <col width="10" customWidth="1" min="2" max="2"/>
    <col width="10" customWidth="1" min="3" max="3"/>
    <col width="10" customWidth="1" min="4" max="4"/>
    <col width="10" customWidth="1" min="5" max="5"/>
    <col width="10" customWidth="1" min="6" max="6"/>
  </cols>
  <sheetData>
    <row r="1">
      <c r="A1" s="34" t="inlineStr">
        <is>
          <t>Supplementary Table S13a. LOO accuracy by method and top-K</t>
        </is>
      </c>
    </row>
    <row r="2">
      <c r="A2" s="12" t="inlineStr">
        <is>
          <t>Method</t>
        </is>
      </c>
      <c r="B2" s="12" t="inlineStr">
        <is>
          <t>K = 100</t>
        </is>
      </c>
      <c r="C2" s="12" t="inlineStr">
        <is>
          <t>K = 250</t>
        </is>
      </c>
      <c r="D2" s="12" t="inlineStr">
        <is>
          <t>K = 500</t>
        </is>
      </c>
      <c r="E2" s="12" t="inlineStr">
        <is>
          <t>K = 1000</t>
        </is>
      </c>
      <c r="F2" s="12" t="inlineStr">
        <is>
          <t>K = 2500</t>
        </is>
      </c>
    </row>
    <row r="3">
      <c r="A3" s="36" t="inlineStr">
        <is>
          <t>SIMPER</t>
        </is>
      </c>
      <c r="B3" s="40" t="n">
        <v>0.5854</v>
      </c>
      <c r="C3" s="40" t="n">
        <v>0.628</v>
      </c>
      <c r="D3" s="40" t="n">
        <v>0.6402</v>
      </c>
      <c r="E3" s="40" t="n">
        <v>0.6402</v>
      </c>
      <c r="F3" s="40" t="n">
        <v>0.6463</v>
      </c>
    </row>
    <row r="4">
      <c r="A4" s="36" t="inlineStr">
        <is>
          <t>SCBD</t>
        </is>
      </c>
      <c r="B4" s="40" t="n">
        <v>0.6341</v>
      </c>
      <c r="C4" s="40" t="n">
        <v>0.6463</v>
      </c>
      <c r="D4" s="40" t="n">
        <v>0.6463</v>
      </c>
      <c r="E4" s="40" t="n">
        <v>0.6463</v>
      </c>
      <c r="F4" s="40" t="n">
        <v>0.6463</v>
      </c>
    </row>
    <row r="5">
      <c r="A5" s="36" t="inlineStr">
        <is>
          <t>CAP</t>
        </is>
      </c>
      <c r="B5" s="40" t="n">
        <v>0.3171</v>
      </c>
      <c r="C5" s="40" t="n">
        <v>0.4024</v>
      </c>
      <c r="D5" s="40" t="n">
        <v>0.4085</v>
      </c>
      <c r="E5" s="40" t="n">
        <v>0.4634</v>
      </c>
      <c r="F5" s="40" t="n">
        <v>0.5305</v>
      </c>
    </row>
    <row r="6">
      <c r="A6" s="36" t="inlineStr">
        <is>
          <t>L1 stability</t>
        </is>
      </c>
      <c r="B6" s="40" t="n">
        <v>0.7378</v>
      </c>
      <c r="C6" s="40" t="n">
        <v>0.7073</v>
      </c>
      <c r="D6" s="40" t="n">
        <v>0.7195</v>
      </c>
      <c r="E6" s="40" t="n">
        <v>0.7561</v>
      </c>
      <c r="F6" s="40" t="n">
        <v>0.6585</v>
      </c>
    </row>
    <row r="7"/>
    <row r="8">
      <c r="A8" s="10" t="inlineStr">
        <is>
          <t>Full-substrate baseline (all features, 16-phylum NNLS): 64.6% (106/164)</t>
        </is>
      </c>
    </row>
  </sheetData>
  <mergeCells count="2">
    <mergeCell ref="A8:F8"/>
    <mergeCell ref="A1:F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outlineLevelCol="0"/>
  <cols>
    <col width="16" customWidth="1" min="1" max="1"/>
    <col width="14" customWidth="1" min="2" max="2"/>
    <col width="9" customWidth="1" min="3" max="3"/>
    <col width="11" customWidth="1" min="4" max="4"/>
    <col width="10" customWidth="1" min="5" max="5"/>
  </cols>
  <sheetData>
    <row r="1">
      <c r="A1" s="34" t="inlineStr">
        <is>
          <t>Supplementary Table S13b. Per-phylum LOO accuracy at the full substrate (64.6% overall)</t>
        </is>
      </c>
    </row>
    <row r="2">
      <c r="A2" s="12" t="inlineStr">
        <is>
          <t>Phylum</t>
        </is>
      </c>
      <c r="B2" s="12" t="inlineStr">
        <is>
          <t>Kingdom</t>
        </is>
      </c>
      <c r="C2" s="12" t="inlineStr">
        <is>
          <t>Correct</t>
        </is>
      </c>
      <c r="D2" s="12" t="inlineStr">
        <is>
          <t>n samples</t>
        </is>
      </c>
      <c r="E2" s="12" t="inlineStr">
        <is>
          <t>Accuracy</t>
        </is>
      </c>
    </row>
    <row r="3">
      <c r="A3" s="36" t="inlineStr">
        <is>
          <t>Discosea</t>
        </is>
      </c>
      <c r="B3" s="8" t="inlineStr">
        <is>
          <t>Protists</t>
        </is>
      </c>
      <c r="C3" s="8" t="n">
        <v>7</v>
      </c>
      <c r="D3" s="8" t="n">
        <v>7</v>
      </c>
      <c r="E3" s="40">
        <f>C3/D3</f>
        <v/>
      </c>
    </row>
    <row r="4">
      <c r="A4" s="36" t="inlineStr">
        <is>
          <t>Evosea</t>
        </is>
      </c>
      <c r="B4" s="8" t="inlineStr">
        <is>
          <t>Protists</t>
        </is>
      </c>
      <c r="C4" s="8" t="n">
        <v>5</v>
      </c>
      <c r="D4" s="8" t="n">
        <v>5</v>
      </c>
      <c r="E4" s="40">
        <f>C4/D4</f>
        <v/>
      </c>
    </row>
    <row r="5">
      <c r="A5" s="36" t="inlineStr">
        <is>
          <t>Bacillota</t>
        </is>
      </c>
      <c r="B5" s="8" t="inlineStr">
        <is>
          <t>Bacteria</t>
        </is>
      </c>
      <c r="C5" s="8" t="n">
        <v>22</v>
      </c>
      <c r="D5" s="8" t="n">
        <v>25</v>
      </c>
      <c r="E5" s="40">
        <f>C5/D5</f>
        <v/>
      </c>
    </row>
    <row r="6">
      <c r="A6" s="36" t="inlineStr">
        <is>
          <t>Pseudomonadota</t>
        </is>
      </c>
      <c r="B6" s="8" t="inlineStr">
        <is>
          <t>Bacteria</t>
        </is>
      </c>
      <c r="C6" s="8" t="n">
        <v>7</v>
      </c>
      <c r="D6" s="8" t="n">
        <v>8</v>
      </c>
      <c r="E6" s="40">
        <f>C6/D6</f>
        <v/>
      </c>
    </row>
    <row r="7">
      <c r="A7" s="36" t="inlineStr">
        <is>
          <t>Mucoromycota</t>
        </is>
      </c>
      <c r="B7" s="8" t="inlineStr">
        <is>
          <t>Fungi</t>
        </is>
      </c>
      <c r="C7" s="8" t="n">
        <v>6</v>
      </c>
      <c r="D7" s="8" t="n">
        <v>7</v>
      </c>
      <c r="E7" s="40">
        <f>C7/D7</f>
        <v/>
      </c>
    </row>
    <row r="8">
      <c r="A8" s="36" t="inlineStr">
        <is>
          <t>Methanobacteriota</t>
        </is>
      </c>
      <c r="B8" s="8" t="inlineStr">
        <is>
          <t>Archaea</t>
        </is>
      </c>
      <c r="C8" s="8" t="n">
        <v>13</v>
      </c>
      <c r="D8" s="8" t="n">
        <v>16</v>
      </c>
      <c r="E8" s="40">
        <f>C8/D8</f>
        <v/>
      </c>
    </row>
    <row r="9">
      <c r="A9" s="36" t="inlineStr">
        <is>
          <t>Heterolobosea</t>
        </is>
      </c>
      <c r="B9" s="8" t="inlineStr">
        <is>
          <t>Protists</t>
        </is>
      </c>
      <c r="C9" s="8" t="n">
        <v>4</v>
      </c>
      <c r="D9" s="8" t="n">
        <v>5</v>
      </c>
      <c r="E9" s="40">
        <f>C9/D9</f>
        <v/>
      </c>
    </row>
    <row r="10">
      <c r="A10" s="36" t="inlineStr">
        <is>
          <t>Streptophyta</t>
        </is>
      </c>
      <c r="B10" s="8" t="inlineStr">
        <is>
          <t>Viridiplantae</t>
        </is>
      </c>
      <c r="C10" s="8" t="n">
        <v>10</v>
      </c>
      <c r="D10" s="8" t="n">
        <v>14</v>
      </c>
      <c r="E10" s="40">
        <f>C10/D10</f>
        <v/>
      </c>
    </row>
    <row r="11">
      <c r="A11" s="36" t="inlineStr">
        <is>
          <t>Chlorophyta</t>
        </is>
      </c>
      <c r="B11" s="8" t="inlineStr">
        <is>
          <t>Viridiplantae</t>
        </is>
      </c>
      <c r="C11" s="8" t="n">
        <v>3</v>
      </c>
      <c r="D11" s="8" t="n">
        <v>5</v>
      </c>
      <c r="E11" s="40">
        <f>C11/D11</f>
        <v/>
      </c>
    </row>
    <row r="12">
      <c r="A12" s="36" t="inlineStr">
        <is>
          <t>Ascomycota</t>
        </is>
      </c>
      <c r="B12" s="8" t="inlineStr">
        <is>
          <t>Fungi</t>
        </is>
      </c>
      <c r="C12" s="8" t="n">
        <v>14</v>
      </c>
      <c r="D12" s="8" t="n">
        <v>27</v>
      </c>
      <c r="E12" s="40">
        <f>C12/D12</f>
        <v/>
      </c>
    </row>
    <row r="13">
      <c r="A13" s="36" t="inlineStr">
        <is>
          <t>Nematoda</t>
        </is>
      </c>
      <c r="B13" s="8" t="inlineStr">
        <is>
          <t>Animalia</t>
        </is>
      </c>
      <c r="C13" s="8" t="n">
        <v>2</v>
      </c>
      <c r="D13" s="8" t="n">
        <v>4</v>
      </c>
      <c r="E13" s="40">
        <f>C13/D13</f>
        <v/>
      </c>
    </row>
    <row r="14">
      <c r="A14" s="36" t="inlineStr">
        <is>
          <t>Actinomycetota</t>
        </is>
      </c>
      <c r="B14" s="8" t="inlineStr">
        <is>
          <t>Bacteria</t>
        </is>
      </c>
      <c r="C14" s="8" t="n">
        <v>7</v>
      </c>
      <c r="D14" s="8" t="n">
        <v>15</v>
      </c>
      <c r="E14" s="40">
        <f>C14/D14</f>
        <v/>
      </c>
    </row>
    <row r="15">
      <c r="A15" s="36" t="inlineStr">
        <is>
          <t>Arthropoda</t>
        </is>
      </c>
      <c r="B15" s="8" t="inlineStr">
        <is>
          <t>Animalia</t>
        </is>
      </c>
      <c r="C15" s="8" t="n">
        <v>5</v>
      </c>
      <c r="D15" s="8" t="n">
        <v>11</v>
      </c>
      <c r="E15" s="40">
        <f>C15/D15</f>
        <v/>
      </c>
    </row>
    <row r="16">
      <c r="A16" s="36" t="inlineStr">
        <is>
          <t>Basidiomycota</t>
        </is>
      </c>
      <c r="B16" s="8" t="inlineStr">
        <is>
          <t>Fungi</t>
        </is>
      </c>
      <c r="C16" s="8" t="n">
        <v>1</v>
      </c>
      <c r="D16" s="8" t="n">
        <v>10</v>
      </c>
      <c r="E16" s="40">
        <f>C16/D16</f>
        <v/>
      </c>
    </row>
    <row r="17">
      <c r="A17" s="36" t="inlineStr">
        <is>
          <t>Mollusca</t>
        </is>
      </c>
      <c r="B17" s="8" t="inlineStr">
        <is>
          <t>Animalia</t>
        </is>
      </c>
      <c r="C17" s="8" t="n">
        <v>0</v>
      </c>
      <c r="D17" s="8" t="n">
        <v>2</v>
      </c>
      <c r="E17" s="40">
        <f>C17/D17</f>
        <v/>
      </c>
    </row>
    <row r="18">
      <c r="A18" s="36" t="inlineStr">
        <is>
          <t>Thermoproteota</t>
        </is>
      </c>
      <c r="B18" s="8" t="inlineStr">
        <is>
          <t>Archaea</t>
        </is>
      </c>
      <c r="C18" s="8" t="n">
        <v>0</v>
      </c>
      <c r="D18" s="8" t="n">
        <v>3</v>
      </c>
      <c r="E18" s="40">
        <f>C18/D18</f>
        <v/>
      </c>
    </row>
    <row r="19">
      <c r="A19" s="36" t="inlineStr">
        <is>
          <t>All phyla</t>
        </is>
      </c>
      <c r="C19" s="36">
        <f>SUM(C3:C18)</f>
        <v/>
      </c>
      <c r="D19" s="36">
        <f>SUM(D3:D18)</f>
        <v/>
      </c>
      <c r="E19" s="41">
        <f>C19/D19</f>
        <v/>
      </c>
    </row>
  </sheetData>
  <mergeCells count="1">
    <mergeCell ref="A1:E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outlineLevelCol="0"/>
  <cols>
    <col width="118" customWidth="1" min="1" max="1"/>
  </cols>
  <sheetData>
    <row r="1">
      <c r="A1" s="32" t="inlineStr">
        <is>
          <t>Supplementary Table S14. ClimGrass verified-soil feature overlap (strict 16 phyla)</t>
        </is>
      </c>
    </row>
    <row r="2">
      <c r="A2" s="11" t="inlineStr">
        <is>
          <t>Fraction of the 696 spectrally verified ClimGrass soil features captured within each method's top-K biomarker set, at each K level (Supplementary Figure 8 strict rerun). Higher fractions mean the method's top-ranked atlas biomarkers better cover the features actually detected in ClimGrass soil. Uses the corrected 696-feature verified-soil substrate.</t>
        </is>
      </c>
    </row>
    <row r="3">
      <c r="A3" s="11" t="inlineStr">
        <is>
          <t>The 'Overlap_detail' sheet also gives the reverse fraction (fraction of each method's top-K set that is ClimGrass-detected) and the raw overlap counts. Variance-based methods (SCBD, SIMPER) capture the ClimGrass set fastest; CAP and L1 stability are supervised and cover it more slowly.</t>
        </is>
      </c>
    </row>
    <row r="4">
      <c r="A4" s="11" t="inlineStr">
        <is>
          <t>CAP and L1 stability are declared reimplementations (see Tables S11 and S13); overlap fractions involving them are reimplementation-based. This is a global top-K overlap metric (no per-phylum keying).</t>
        </is>
      </c>
    </row>
    <row r="5">
      <c r="A5" s="33" t="inlineStr">
        <is>
          <t>Source: outputs/analysis/ncbi-phylum-2026-08-04-v1/suppfig8_cross_method_strict16_2026-08-11_v1/panel_c_climgrass_overlap.csv. Producer: paper2_repro/scripts/build_table_s14_strict16.py.</t>
        </is>
      </c>
    </row>
  </sheetData>
  <mergeCells count="5">
    <mergeCell ref="A1:H1"/>
    <mergeCell ref="A4:H4"/>
    <mergeCell ref="A3:H3"/>
    <mergeCell ref="A2:H2"/>
    <mergeCell ref="A5:H5"/>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outlineLevelCol="0"/>
  <cols>
    <col width="16" customWidth="1" min="1" max="1"/>
    <col width="10" customWidth="1" min="2" max="2"/>
    <col width="10" customWidth="1" min="3" max="3"/>
    <col width="10" customWidth="1" min="4" max="4"/>
    <col width="10" customWidth="1" min="5" max="5"/>
    <col width="10" customWidth="1" min="6" max="6"/>
  </cols>
  <sheetData>
    <row r="1">
      <c r="A1" s="34" t="inlineStr">
        <is>
          <t>Supplementary Table S14a. Fraction of the 696 verified ClimGrass features captured in each method's top-K</t>
        </is>
      </c>
    </row>
    <row r="2">
      <c r="A2" s="12" t="inlineStr">
        <is>
          <t>Method</t>
        </is>
      </c>
      <c r="B2" s="12" t="inlineStr">
        <is>
          <t>K = 100</t>
        </is>
      </c>
      <c r="C2" s="12" t="inlineStr">
        <is>
          <t>K = 250</t>
        </is>
      </c>
      <c r="D2" s="12" t="inlineStr">
        <is>
          <t>K = 500</t>
        </is>
      </c>
      <c r="E2" s="12" t="inlineStr">
        <is>
          <t>K = 1000</t>
        </is>
      </c>
      <c r="F2" s="12" t="inlineStr">
        <is>
          <t>K = 2500</t>
        </is>
      </c>
    </row>
    <row r="3">
      <c r="A3" s="36" t="inlineStr">
        <is>
          <t>SIMPER</t>
        </is>
      </c>
      <c r="B3" s="40" t="n">
        <v>0.0603</v>
      </c>
      <c r="C3" s="40" t="n">
        <v>0.1422</v>
      </c>
      <c r="D3" s="40" t="n">
        <v>0.2385</v>
      </c>
      <c r="E3" s="40" t="n">
        <v>0.3908</v>
      </c>
      <c r="F3" s="40" t="n">
        <v>0.8046</v>
      </c>
    </row>
    <row r="4">
      <c r="A4" s="36" t="inlineStr">
        <is>
          <t>SCBD</t>
        </is>
      </c>
      <c r="B4" s="40" t="n">
        <v>0.0905</v>
      </c>
      <c r="C4" s="40" t="n">
        <v>0.2126</v>
      </c>
      <c r="D4" s="40" t="n">
        <v>0.3592</v>
      </c>
      <c r="E4" s="40" t="n">
        <v>0.6078</v>
      </c>
      <c r="F4" s="40" t="n">
        <v>0.9612000000000001</v>
      </c>
    </row>
    <row r="5">
      <c r="A5" s="36" t="inlineStr">
        <is>
          <t>CAP</t>
        </is>
      </c>
      <c r="B5" s="40" t="n">
        <v>0.033</v>
      </c>
      <c r="C5" s="40" t="n">
        <v>0.056</v>
      </c>
      <c r="D5" s="40" t="n">
        <v>0.1264</v>
      </c>
      <c r="E5" s="40" t="n">
        <v>0.2184</v>
      </c>
      <c r="F5" s="40" t="n">
        <v>0.4167</v>
      </c>
    </row>
    <row r="6">
      <c r="A6" s="36" t="inlineStr">
        <is>
          <t>L1 stability</t>
        </is>
      </c>
      <c r="B6" s="40" t="n">
        <v>0.0302</v>
      </c>
      <c r="C6" s="40" t="n">
        <v>0.0862</v>
      </c>
      <c r="D6" s="40" t="n">
        <v>0.148</v>
      </c>
      <c r="E6" s="40" t="n">
        <v>0.2399</v>
      </c>
      <c r="F6" s="40" t="n">
        <v>0.6336000000000001</v>
      </c>
    </row>
  </sheetData>
  <mergeCells count="1">
    <mergeCell ref="A1:F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outlineLevelCol="0"/>
  <cols>
    <col width="15" customWidth="1" min="1" max="1"/>
    <col width="7" customWidth="1" min="2" max="2"/>
    <col width="14" customWidth="1" min="3" max="3"/>
    <col width="15" customWidth="1" min="4" max="4"/>
    <col width="9" customWidth="1" min="5" max="5"/>
    <col width="20" customWidth="1" min="6" max="6"/>
    <col width="20" customWidth="1" min="7" max="7"/>
  </cols>
  <sheetData>
    <row r="1">
      <c r="A1" s="34" t="inlineStr">
        <is>
          <t>Supplementary Table S14b. Overlap detail (counts and both directions)</t>
        </is>
      </c>
    </row>
    <row r="2">
      <c r="A2" s="12" t="inlineStr">
        <is>
          <t>Method</t>
        </is>
      </c>
      <c r="B2" s="12" t="inlineStr">
        <is>
          <t>K</t>
        </is>
      </c>
      <c r="C2" s="12" t="inlineStr">
        <is>
          <t>Top-K features</t>
        </is>
      </c>
      <c r="D2" s="12" t="inlineStr">
        <is>
          <t>ClimGrass features</t>
        </is>
      </c>
      <c r="E2" s="12" t="inlineStr">
        <is>
          <t>Overlap</t>
        </is>
      </c>
      <c r="F2" s="12" t="inlineStr">
        <is>
          <t>Frac. of ClimGrass in top-K</t>
        </is>
      </c>
      <c r="G2" s="12" t="inlineStr">
        <is>
          <t>Frac. of top-K in ClimGrass</t>
        </is>
      </c>
    </row>
    <row r="3">
      <c r="A3" s="36" t="inlineStr">
        <is>
          <t>SIMPER</t>
        </is>
      </c>
      <c r="B3" s="8" t="n">
        <v>100</v>
      </c>
      <c r="C3" s="8" t="n">
        <v>809</v>
      </c>
      <c r="D3" s="8" t="n">
        <v>696</v>
      </c>
      <c r="E3" s="8" t="n">
        <v>42</v>
      </c>
      <c r="F3" s="40" t="n">
        <v>0.0603</v>
      </c>
      <c r="G3" s="40" t="n">
        <v>0.0519</v>
      </c>
    </row>
    <row r="4">
      <c r="A4" s="36" t="inlineStr">
        <is>
          <t>SIMPER</t>
        </is>
      </c>
      <c r="B4" s="8" t="n">
        <v>250</v>
      </c>
      <c r="C4" s="8" t="n">
        <v>1683</v>
      </c>
      <c r="D4" s="8" t="n">
        <v>696</v>
      </c>
      <c r="E4" s="8" t="n">
        <v>99</v>
      </c>
      <c r="F4" s="40" t="n">
        <v>0.1422</v>
      </c>
      <c r="G4" s="40" t="n">
        <v>0.0588</v>
      </c>
    </row>
    <row r="5">
      <c r="A5" s="36" t="inlineStr">
        <is>
          <t>SIMPER</t>
        </is>
      </c>
      <c r="B5" s="8" t="n">
        <v>500</v>
      </c>
      <c r="C5" s="8" t="n">
        <v>2867</v>
      </c>
      <c r="D5" s="8" t="n">
        <v>696</v>
      </c>
      <c r="E5" s="8" t="n">
        <v>166</v>
      </c>
      <c r="F5" s="40" t="n">
        <v>0.2385</v>
      </c>
      <c r="G5" s="40" t="n">
        <v>0.0579</v>
      </c>
    </row>
    <row r="6">
      <c r="A6" s="36" t="inlineStr">
        <is>
          <t>SIMPER</t>
        </is>
      </c>
      <c r="B6" s="8" t="n">
        <v>1000</v>
      </c>
      <c r="C6" s="8" t="n">
        <v>4921</v>
      </c>
      <c r="D6" s="8" t="n">
        <v>696</v>
      </c>
      <c r="E6" s="8" t="n">
        <v>272</v>
      </c>
      <c r="F6" s="40" t="n">
        <v>0.3908</v>
      </c>
      <c r="G6" s="40" t="n">
        <v>0.0553</v>
      </c>
    </row>
    <row r="7">
      <c r="A7" s="36" t="inlineStr">
        <is>
          <t>SIMPER</t>
        </is>
      </c>
      <c r="B7" s="8" t="n">
        <v>2500</v>
      </c>
      <c r="C7" s="8" t="n">
        <v>10363</v>
      </c>
      <c r="D7" s="8" t="n">
        <v>696</v>
      </c>
      <c r="E7" s="8" t="n">
        <v>560</v>
      </c>
      <c r="F7" s="40" t="n">
        <v>0.8046</v>
      </c>
      <c r="G7" s="40" t="n">
        <v>0.054</v>
      </c>
    </row>
    <row r="8">
      <c r="A8" s="36" t="inlineStr">
        <is>
          <t>SCBD</t>
        </is>
      </c>
      <c r="B8" s="8" t="n">
        <v>100</v>
      </c>
      <c r="C8" s="8" t="n">
        <v>1158</v>
      </c>
      <c r="D8" s="8" t="n">
        <v>696</v>
      </c>
      <c r="E8" s="8" t="n">
        <v>63</v>
      </c>
      <c r="F8" s="40" t="n">
        <v>0.0905</v>
      </c>
      <c r="G8" s="40" t="n">
        <v>0.0544</v>
      </c>
    </row>
    <row r="9">
      <c r="A9" s="36" t="inlineStr">
        <is>
          <t>SCBD</t>
        </is>
      </c>
      <c r="B9" s="8" t="n">
        <v>250</v>
      </c>
      <c r="C9" s="8" t="n">
        <v>2718</v>
      </c>
      <c r="D9" s="8" t="n">
        <v>696</v>
      </c>
      <c r="E9" s="8" t="n">
        <v>148</v>
      </c>
      <c r="F9" s="40" t="n">
        <v>0.2126</v>
      </c>
      <c r="G9" s="40" t="n">
        <v>0.0545</v>
      </c>
    </row>
    <row r="10">
      <c r="A10" s="36" t="inlineStr">
        <is>
          <t>SCBD</t>
        </is>
      </c>
      <c r="B10" s="8" t="n">
        <v>500</v>
      </c>
      <c r="C10" s="8" t="n">
        <v>5049</v>
      </c>
      <c r="D10" s="8" t="n">
        <v>696</v>
      </c>
      <c r="E10" s="8" t="n">
        <v>250</v>
      </c>
      <c r="F10" s="40" t="n">
        <v>0.3592</v>
      </c>
      <c r="G10" s="40" t="n">
        <v>0.0495</v>
      </c>
    </row>
    <row r="11">
      <c r="A11" s="36" t="inlineStr">
        <is>
          <t>SCBD</t>
        </is>
      </c>
      <c r="B11" s="8" t="n">
        <v>1000</v>
      </c>
      <c r="C11" s="8" t="n">
        <v>9053</v>
      </c>
      <c r="D11" s="8" t="n">
        <v>696</v>
      </c>
      <c r="E11" s="8" t="n">
        <v>423</v>
      </c>
      <c r="F11" s="40" t="n">
        <v>0.6078</v>
      </c>
      <c r="G11" s="40" t="n">
        <v>0.0467</v>
      </c>
    </row>
    <row r="12">
      <c r="A12" s="36" t="inlineStr">
        <is>
          <t>SCBD</t>
        </is>
      </c>
      <c r="B12" s="8" t="n">
        <v>2500</v>
      </c>
      <c r="C12" s="8" t="n">
        <v>18258</v>
      </c>
      <c r="D12" s="8" t="n">
        <v>696</v>
      </c>
      <c r="E12" s="8" t="n">
        <v>669</v>
      </c>
      <c r="F12" s="40" t="n">
        <v>0.9612000000000001</v>
      </c>
      <c r="G12" s="40" t="n">
        <v>0.0366</v>
      </c>
    </row>
    <row r="13">
      <c r="A13" s="36" t="inlineStr">
        <is>
          <t>CAP</t>
        </is>
      </c>
      <c r="B13" s="8" t="n">
        <v>100</v>
      </c>
      <c r="C13" s="8" t="n">
        <v>1074</v>
      </c>
      <c r="D13" s="8" t="n">
        <v>696</v>
      </c>
      <c r="E13" s="8" t="n">
        <v>23</v>
      </c>
      <c r="F13" s="40" t="n">
        <v>0.033</v>
      </c>
      <c r="G13" s="40" t="n">
        <v>0.0214</v>
      </c>
    </row>
    <row r="14">
      <c r="A14" s="36" t="inlineStr">
        <is>
          <t>CAP</t>
        </is>
      </c>
      <c r="B14" s="8" t="n">
        <v>250</v>
      </c>
      <c r="C14" s="8" t="n">
        <v>2474</v>
      </c>
      <c r="D14" s="8" t="n">
        <v>696</v>
      </c>
      <c r="E14" s="8" t="n">
        <v>39</v>
      </c>
      <c r="F14" s="40" t="n">
        <v>0.056</v>
      </c>
      <c r="G14" s="40" t="n">
        <v>0.0158</v>
      </c>
    </row>
    <row r="15">
      <c r="A15" s="36" t="inlineStr">
        <is>
          <t>CAP</t>
        </is>
      </c>
      <c r="B15" s="8" t="n">
        <v>500</v>
      </c>
      <c r="C15" s="8" t="n">
        <v>4384</v>
      </c>
      <c r="D15" s="8" t="n">
        <v>696</v>
      </c>
      <c r="E15" s="8" t="n">
        <v>88</v>
      </c>
      <c r="F15" s="40" t="n">
        <v>0.1264</v>
      </c>
      <c r="G15" s="40" t="n">
        <v>0.0201</v>
      </c>
    </row>
    <row r="16">
      <c r="A16" s="36" t="inlineStr">
        <is>
          <t>CAP</t>
        </is>
      </c>
      <c r="B16" s="8" t="n">
        <v>1000</v>
      </c>
      <c r="C16" s="8" t="n">
        <v>7956</v>
      </c>
      <c r="D16" s="8" t="n">
        <v>696</v>
      </c>
      <c r="E16" s="8" t="n">
        <v>152</v>
      </c>
      <c r="F16" s="40" t="n">
        <v>0.2184</v>
      </c>
      <c r="G16" s="40" t="n">
        <v>0.0191</v>
      </c>
    </row>
    <row r="17">
      <c r="A17" s="36" t="inlineStr">
        <is>
          <t>CAP</t>
        </is>
      </c>
      <c r="B17" s="8" t="n">
        <v>2500</v>
      </c>
      <c r="C17" s="8" t="n">
        <v>15999</v>
      </c>
      <c r="D17" s="8" t="n">
        <v>696</v>
      </c>
      <c r="E17" s="8" t="n">
        <v>290</v>
      </c>
      <c r="F17" s="40" t="n">
        <v>0.4167</v>
      </c>
      <c r="G17" s="40" t="n">
        <v>0.0181</v>
      </c>
    </row>
    <row r="18">
      <c r="A18" s="36" t="inlineStr">
        <is>
          <t>L1 stability</t>
        </is>
      </c>
      <c r="B18" s="8" t="n">
        <v>100</v>
      </c>
      <c r="C18" s="8" t="n">
        <v>1582</v>
      </c>
      <c r="D18" s="8" t="n">
        <v>696</v>
      </c>
      <c r="E18" s="8" t="n">
        <v>21</v>
      </c>
      <c r="F18" s="40" t="n">
        <v>0.0302</v>
      </c>
      <c r="G18" s="40" t="n">
        <v>0.0133</v>
      </c>
    </row>
    <row r="19">
      <c r="A19" s="36" t="inlineStr">
        <is>
          <t>L1 stability</t>
        </is>
      </c>
      <c r="B19" s="8" t="n">
        <v>250</v>
      </c>
      <c r="C19" s="8" t="n">
        <v>3822</v>
      </c>
      <c r="D19" s="8" t="n">
        <v>696</v>
      </c>
      <c r="E19" s="8" t="n">
        <v>60</v>
      </c>
      <c r="F19" s="40" t="n">
        <v>0.0862</v>
      </c>
      <c r="G19" s="40" t="n">
        <v>0.0157</v>
      </c>
    </row>
    <row r="20">
      <c r="A20" s="36" t="inlineStr">
        <is>
          <t>L1 stability</t>
        </is>
      </c>
      <c r="B20" s="8" t="n">
        <v>500</v>
      </c>
      <c r="C20" s="8" t="n">
        <v>7209</v>
      </c>
      <c r="D20" s="8" t="n">
        <v>696</v>
      </c>
      <c r="E20" s="8" t="n">
        <v>103</v>
      </c>
      <c r="F20" s="40" t="n">
        <v>0.148</v>
      </c>
      <c r="G20" s="40" t="n">
        <v>0.0143</v>
      </c>
    </row>
    <row r="21">
      <c r="A21" s="36" t="inlineStr">
        <is>
          <t>L1 stability</t>
        </is>
      </c>
      <c r="B21" s="8" t="n">
        <v>1000</v>
      </c>
      <c r="C21" s="8" t="n">
        <v>13047</v>
      </c>
      <c r="D21" s="8" t="n">
        <v>696</v>
      </c>
      <c r="E21" s="8" t="n">
        <v>167</v>
      </c>
      <c r="F21" s="40" t="n">
        <v>0.2399</v>
      </c>
      <c r="G21" s="40" t="n">
        <v>0.0128</v>
      </c>
    </row>
    <row r="22">
      <c r="A22" s="36" t="inlineStr">
        <is>
          <t>L1 stability</t>
        </is>
      </c>
      <c r="B22" s="8" t="n">
        <v>2500</v>
      </c>
      <c r="C22" s="8" t="n">
        <v>28179</v>
      </c>
      <c r="D22" s="8" t="n">
        <v>696</v>
      </c>
      <c r="E22" s="8" t="n">
        <v>441</v>
      </c>
      <c r="F22" s="40" t="n">
        <v>0.6336000000000001</v>
      </c>
      <c r="G22" s="40" t="n">
        <v>0.0156</v>
      </c>
    </row>
  </sheetData>
  <mergeCells count="1">
    <mergeCell ref="A1:G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outlineLevelCol="0"/>
  <cols>
    <col width="118" customWidth="1" min="1" max="1"/>
  </cols>
  <sheetData>
    <row r="1">
      <c r="A1" s="32" t="inlineStr">
        <is>
          <t>Supplementary Table S15. Five-rank taxonomic framework (strict phyla)</t>
        </is>
      </c>
    </row>
    <row r="2">
      <c r="A2" s="11" t="inlineStr">
        <is>
          <t>Ordinal (cladistic) framework underlying the phylum phylogenetic distance matrix used in the lipidome-phylogeny Mantel and partial-Mantel tests (Fig. 3, Fig. 4). Ranks, broad to narrow: Domain &gt; Supergroup &gt; Organism group (kingdom) &gt; Clade &gt; Phylum.</t>
        </is>
      </c>
    </row>
    <row r="3">
      <c r="A3" s="11" t="inlineStr">
        <is>
          <t>Pairwise distance = number of ranks from a phylum up to the most recent common ancestor: 0 = same phylum; 1 = same clade; 2 = same organism group; 3 = same supergroup; 4 = same domain; 5 = different domain. Equivalently, 5 minus the number of matching leading ranks. The distances recomputed from this framework reproduce the strict 16-phylum matrix (phylo_dist_16phyla.csv) exactly.</t>
        </is>
      </c>
    </row>
    <row r="4">
      <c r="A4" s="11" t="inlineStr">
        <is>
          <t>Scope: all 19 collection phyla. The 'In 16-phylum analysis set' column marks the 16 with n&gt;=2 samples in both polarities used for phylum inference; the other three (Cyanobacteriota, Mortierellomycota, Cercozoa) are below threshold and retained for completeness only.</t>
        </is>
      </c>
    </row>
    <row r="5">
      <c r="A5" s="11" t="inlineStr">
        <is>
          <t>Re-derived on strict units: Amoebozoa split into Discosea and Evosea (distinct clades within the Amoebozoa supergroup, distance 2); the legacy land-plant labels and Charophyta merged into Streptophyta; Euryarchaeota into Methanobacteriota; Crenarchaeota into Thermoproteota. Organism-group labels follow the locked ecological_group vocabulary (Viridiplantae, Protists).</t>
        </is>
      </c>
    </row>
    <row r="6">
      <c r="A6" s="11" t="inlineStr">
        <is>
          <t>PENDING coauthor confirmation: the Streptophyta clade placement. The strict Streptophyta phylum spans charophyte algae (Charophyta) and land plants (Embryophyta); it is assigned the superclade 'Streptophyta' here, distinct from Chlorophyta (distance 2). Opisthokonta is retained as the eukaryotic supergroup uniting Fungi and Animalia.</t>
        </is>
      </c>
    </row>
    <row r="7">
      <c r="A7" s="33" t="inlineStr">
        <is>
          <t>Basis: eukaryotic supergroups follow Adl et al. (2019, J. Eukaryot. Microbiol. 66:4-119); rank/name assignments follow NCBI Taxonomy (Schoch et al. 2020). Source: paper2_repro/scripts/build_table_s15_strict16.py, gated against suppfig1_full_strict16_2026-08-11_v1/panel_d_data/phylo_dist_16phyla.csv.</t>
        </is>
      </c>
    </row>
  </sheetData>
  <mergeCells count="7">
    <mergeCell ref="A4:H4"/>
    <mergeCell ref="A3:H3"/>
    <mergeCell ref="A5:H5"/>
    <mergeCell ref="A7:H7"/>
    <mergeCell ref="A2:H2"/>
    <mergeCell ref="A1:H1"/>
    <mergeCell ref="A6:H6"/>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outlineLevelCol="0"/>
  <cols>
    <col width="12" customWidth="1" min="1" max="1"/>
    <col width="15" customWidth="1" min="2" max="2"/>
    <col width="16" customWidth="1" min="3" max="3"/>
    <col width="16" customWidth="1" min="4" max="4"/>
    <col width="18" customWidth="1" min="5" max="5"/>
    <col width="22" customWidth="1" min="6" max="6"/>
  </cols>
  <sheetData>
    <row r="1">
      <c r="A1" s="34" t="inlineStr">
        <is>
          <t>Supplementary Table S15. Five-rank taxonomic framework (strict phyla)</t>
        </is>
      </c>
    </row>
    <row r="2">
      <c r="A2" s="12" t="inlineStr">
        <is>
          <t>Domain</t>
        </is>
      </c>
      <c r="B2" s="12" t="inlineStr">
        <is>
          <t>Supergroup</t>
        </is>
      </c>
      <c r="C2" s="12" t="inlineStr">
        <is>
          <t>Organism group</t>
        </is>
      </c>
      <c r="D2" s="12" t="inlineStr">
        <is>
          <t>Clade</t>
        </is>
      </c>
      <c r="E2" s="12" t="inlineStr">
        <is>
          <t>Phylum</t>
        </is>
      </c>
      <c r="F2" s="12" t="inlineStr">
        <is>
          <t>In 16-phylum analysis set</t>
        </is>
      </c>
    </row>
    <row r="3">
      <c r="A3" s="8" t="inlineStr">
        <is>
          <t>Bacteria</t>
        </is>
      </c>
      <c r="B3" s="8" t="inlineStr">
        <is>
          <t>Terrabacteria</t>
        </is>
      </c>
      <c r="C3" s="8" t="inlineStr">
        <is>
          <t>Bacteria</t>
        </is>
      </c>
      <c r="D3" s="8" t="inlineStr">
        <is>
          <t>Actinobacteria</t>
        </is>
      </c>
      <c r="E3" s="36" t="inlineStr">
        <is>
          <t>Actinomycetota</t>
        </is>
      </c>
      <c r="F3" s="8" t="inlineStr">
        <is>
          <t>yes</t>
        </is>
      </c>
    </row>
    <row r="4">
      <c r="A4" s="8" t="inlineStr">
        <is>
          <t>Bacteria</t>
        </is>
      </c>
      <c r="B4" s="8" t="inlineStr">
        <is>
          <t>Terrabacteria</t>
        </is>
      </c>
      <c r="C4" s="8" t="inlineStr">
        <is>
          <t>Bacteria</t>
        </is>
      </c>
      <c r="D4" s="8" t="inlineStr">
        <is>
          <t>Firmicutes</t>
        </is>
      </c>
      <c r="E4" s="36" t="inlineStr">
        <is>
          <t>Bacillota</t>
        </is>
      </c>
      <c r="F4" s="8" t="inlineStr">
        <is>
          <t>yes</t>
        </is>
      </c>
    </row>
    <row r="5">
      <c r="A5" s="8" t="inlineStr">
        <is>
          <t>Bacteria</t>
        </is>
      </c>
      <c r="B5" s="8" t="inlineStr">
        <is>
          <t>Terrabacteria</t>
        </is>
      </c>
      <c r="C5" s="8" t="inlineStr">
        <is>
          <t>Bacteria</t>
        </is>
      </c>
      <c r="D5" s="8" t="inlineStr">
        <is>
          <t>Cyanobacteria</t>
        </is>
      </c>
      <c r="E5" s="36" t="inlineStr">
        <is>
          <t>Cyanobacteriota</t>
        </is>
      </c>
      <c r="F5" s="8" t="inlineStr">
        <is>
          <t>no (below threshold)</t>
        </is>
      </c>
    </row>
    <row r="6">
      <c r="A6" s="8" t="inlineStr">
        <is>
          <t>Bacteria</t>
        </is>
      </c>
      <c r="B6" s="8" t="inlineStr">
        <is>
          <t>Gracilicutes</t>
        </is>
      </c>
      <c r="C6" s="8" t="inlineStr">
        <is>
          <t>Bacteria</t>
        </is>
      </c>
      <c r="D6" s="8" t="inlineStr">
        <is>
          <t>Proteobacteria</t>
        </is>
      </c>
      <c r="E6" s="36" t="inlineStr">
        <is>
          <t>Pseudomonadota</t>
        </is>
      </c>
      <c r="F6" s="8" t="inlineStr">
        <is>
          <t>yes</t>
        </is>
      </c>
    </row>
    <row r="7">
      <c r="A7" s="8" t="inlineStr">
        <is>
          <t>Archaea</t>
        </is>
      </c>
      <c r="B7" s="8" t="inlineStr">
        <is>
          <t>Euryarchaeota</t>
        </is>
      </c>
      <c r="C7" s="8" t="inlineStr">
        <is>
          <t>Archaea</t>
        </is>
      </c>
      <c r="D7" s="8" t="inlineStr">
        <is>
          <t>Methanobacteria</t>
        </is>
      </c>
      <c r="E7" s="36" t="inlineStr">
        <is>
          <t>Methanobacteriota</t>
        </is>
      </c>
      <c r="F7" s="8" t="inlineStr">
        <is>
          <t>yes</t>
        </is>
      </c>
    </row>
    <row r="8">
      <c r="A8" s="8" t="inlineStr">
        <is>
          <t>Archaea</t>
        </is>
      </c>
      <c r="B8" s="8" t="inlineStr">
        <is>
          <t>TACK</t>
        </is>
      </c>
      <c r="C8" s="8" t="inlineStr">
        <is>
          <t>Archaea</t>
        </is>
      </c>
      <c r="D8" s="8" t="inlineStr">
        <is>
          <t>Thermoproteota</t>
        </is>
      </c>
      <c r="E8" s="36" t="inlineStr">
        <is>
          <t>Thermoproteota</t>
        </is>
      </c>
      <c r="F8" s="8" t="inlineStr">
        <is>
          <t>yes</t>
        </is>
      </c>
    </row>
    <row r="9">
      <c r="A9" s="8" t="inlineStr">
        <is>
          <t>Eukaryota</t>
        </is>
      </c>
      <c r="B9" s="8" t="inlineStr">
        <is>
          <t>Opisthokonta</t>
        </is>
      </c>
      <c r="C9" s="8" t="inlineStr">
        <is>
          <t>Fungi</t>
        </is>
      </c>
      <c r="D9" s="8" t="inlineStr">
        <is>
          <t>Dikarya</t>
        </is>
      </c>
      <c r="E9" s="36" t="inlineStr">
        <is>
          <t>Ascomycota</t>
        </is>
      </c>
      <c r="F9" s="8" t="inlineStr">
        <is>
          <t>yes</t>
        </is>
      </c>
    </row>
    <row r="10">
      <c r="A10" s="8" t="inlineStr">
        <is>
          <t>Eukaryota</t>
        </is>
      </c>
      <c r="B10" s="8" t="inlineStr">
        <is>
          <t>Opisthokonta</t>
        </is>
      </c>
      <c r="C10" s="8" t="inlineStr">
        <is>
          <t>Fungi</t>
        </is>
      </c>
      <c r="D10" s="8" t="inlineStr">
        <is>
          <t>Dikarya</t>
        </is>
      </c>
      <c r="E10" s="36" t="inlineStr">
        <is>
          <t>Basidiomycota</t>
        </is>
      </c>
      <c r="F10" s="8" t="inlineStr">
        <is>
          <t>yes</t>
        </is>
      </c>
    </row>
    <row r="11">
      <c r="A11" s="8" t="inlineStr">
        <is>
          <t>Eukaryota</t>
        </is>
      </c>
      <c r="B11" s="8" t="inlineStr">
        <is>
          <t>Opisthokonta</t>
        </is>
      </c>
      <c r="C11" s="8" t="inlineStr">
        <is>
          <t>Fungi</t>
        </is>
      </c>
      <c r="D11" s="8" t="inlineStr">
        <is>
          <t>Basal Fungi</t>
        </is>
      </c>
      <c r="E11" s="36" t="inlineStr">
        <is>
          <t>Mucoromycota</t>
        </is>
      </c>
      <c r="F11" s="8" t="inlineStr">
        <is>
          <t>yes</t>
        </is>
      </c>
    </row>
    <row r="12">
      <c r="A12" s="8" t="inlineStr">
        <is>
          <t>Eukaryota</t>
        </is>
      </c>
      <c r="B12" s="8" t="inlineStr">
        <is>
          <t>Opisthokonta</t>
        </is>
      </c>
      <c r="C12" s="8" t="inlineStr">
        <is>
          <t>Fungi</t>
        </is>
      </c>
      <c r="D12" s="8" t="inlineStr">
        <is>
          <t>Basal Fungi</t>
        </is>
      </c>
      <c r="E12" s="36" t="inlineStr">
        <is>
          <t>Mortierellomycota</t>
        </is>
      </c>
      <c r="F12" s="8" t="inlineStr">
        <is>
          <t>no (below threshold)</t>
        </is>
      </c>
    </row>
    <row r="13">
      <c r="A13" s="8" t="inlineStr">
        <is>
          <t>Eukaryota</t>
        </is>
      </c>
      <c r="B13" s="8" t="inlineStr">
        <is>
          <t>Opisthokonta</t>
        </is>
      </c>
      <c r="C13" s="8" t="inlineStr">
        <is>
          <t>Animalia</t>
        </is>
      </c>
      <c r="D13" s="8" t="inlineStr">
        <is>
          <t>Ecdysozoa</t>
        </is>
      </c>
      <c r="E13" s="36" t="inlineStr">
        <is>
          <t>Arthropoda</t>
        </is>
      </c>
      <c r="F13" s="8" t="inlineStr">
        <is>
          <t>yes</t>
        </is>
      </c>
    </row>
    <row r="14">
      <c r="A14" s="8" t="inlineStr">
        <is>
          <t>Eukaryota</t>
        </is>
      </c>
      <c r="B14" s="8" t="inlineStr">
        <is>
          <t>Opisthokonta</t>
        </is>
      </c>
      <c r="C14" s="8" t="inlineStr">
        <is>
          <t>Animalia</t>
        </is>
      </c>
      <c r="D14" s="8" t="inlineStr">
        <is>
          <t>Ecdysozoa</t>
        </is>
      </c>
      <c r="E14" s="36" t="inlineStr">
        <is>
          <t>Nematoda</t>
        </is>
      </c>
      <c r="F14" s="8" t="inlineStr">
        <is>
          <t>yes</t>
        </is>
      </c>
    </row>
    <row r="15">
      <c r="A15" s="8" t="inlineStr">
        <is>
          <t>Eukaryota</t>
        </is>
      </c>
      <c r="B15" s="8" t="inlineStr">
        <is>
          <t>Opisthokonta</t>
        </is>
      </c>
      <c r="C15" s="8" t="inlineStr">
        <is>
          <t>Animalia</t>
        </is>
      </c>
      <c r="D15" s="8" t="inlineStr">
        <is>
          <t>Lophotrochozoa</t>
        </is>
      </c>
      <c r="E15" s="36" t="inlineStr">
        <is>
          <t>Mollusca</t>
        </is>
      </c>
      <c r="F15" s="8" t="inlineStr">
        <is>
          <t>yes</t>
        </is>
      </c>
    </row>
    <row r="16">
      <c r="A16" s="8" t="inlineStr">
        <is>
          <t>Eukaryota</t>
        </is>
      </c>
      <c r="B16" s="8" t="inlineStr">
        <is>
          <t>Archaeplastida</t>
        </is>
      </c>
      <c r="C16" s="8" t="inlineStr">
        <is>
          <t>Viridiplantae</t>
        </is>
      </c>
      <c r="D16" s="8" t="inlineStr">
        <is>
          <t>Chlorophyta</t>
        </is>
      </c>
      <c r="E16" s="36" t="inlineStr">
        <is>
          <t>Chlorophyta</t>
        </is>
      </c>
      <c r="F16" s="8" t="inlineStr">
        <is>
          <t>yes</t>
        </is>
      </c>
    </row>
    <row r="17">
      <c r="A17" s="8" t="inlineStr">
        <is>
          <t>Eukaryota</t>
        </is>
      </c>
      <c r="B17" s="8" t="inlineStr">
        <is>
          <t>Archaeplastida</t>
        </is>
      </c>
      <c r="C17" s="8" t="inlineStr">
        <is>
          <t>Viridiplantae</t>
        </is>
      </c>
      <c r="D17" s="8" t="inlineStr">
        <is>
          <t>Streptophyta *</t>
        </is>
      </c>
      <c r="E17" s="36" t="inlineStr">
        <is>
          <t>Streptophyta</t>
        </is>
      </c>
      <c r="F17" s="8" t="inlineStr">
        <is>
          <t>yes</t>
        </is>
      </c>
    </row>
    <row r="18">
      <c r="A18" s="8" t="inlineStr">
        <is>
          <t>Eukaryota</t>
        </is>
      </c>
      <c r="B18" s="8" t="inlineStr">
        <is>
          <t>Amoebozoa</t>
        </is>
      </c>
      <c r="C18" s="8" t="inlineStr">
        <is>
          <t>Protists</t>
        </is>
      </c>
      <c r="D18" s="8" t="inlineStr">
        <is>
          <t>Discosea</t>
        </is>
      </c>
      <c r="E18" s="36" t="inlineStr">
        <is>
          <t>Discosea</t>
        </is>
      </c>
      <c r="F18" s="8" t="inlineStr">
        <is>
          <t>yes</t>
        </is>
      </c>
    </row>
    <row r="19">
      <c r="A19" s="8" t="inlineStr">
        <is>
          <t>Eukaryota</t>
        </is>
      </c>
      <c r="B19" s="8" t="inlineStr">
        <is>
          <t>Amoebozoa</t>
        </is>
      </c>
      <c r="C19" s="8" t="inlineStr">
        <is>
          <t>Protists</t>
        </is>
      </c>
      <c r="D19" s="8" t="inlineStr">
        <is>
          <t>Evosea</t>
        </is>
      </c>
      <c r="E19" s="36" t="inlineStr">
        <is>
          <t>Evosea</t>
        </is>
      </c>
      <c r="F19" s="8" t="inlineStr">
        <is>
          <t>yes</t>
        </is>
      </c>
    </row>
    <row r="20">
      <c r="A20" s="8" t="inlineStr">
        <is>
          <t>Eukaryota</t>
        </is>
      </c>
      <c r="B20" s="8" t="inlineStr">
        <is>
          <t>SAR</t>
        </is>
      </c>
      <c r="C20" s="8" t="inlineStr">
        <is>
          <t>Protists</t>
        </is>
      </c>
      <c r="D20" s="8" t="inlineStr">
        <is>
          <t>Rhizaria</t>
        </is>
      </c>
      <c r="E20" s="36" t="inlineStr">
        <is>
          <t>Cercozoa</t>
        </is>
      </c>
      <c r="F20" s="8" t="inlineStr">
        <is>
          <t>no (below threshold)</t>
        </is>
      </c>
    </row>
    <row r="21">
      <c r="A21" s="8" t="inlineStr">
        <is>
          <t>Eukaryota</t>
        </is>
      </c>
      <c r="B21" s="8" t="inlineStr">
        <is>
          <t>Excavata</t>
        </is>
      </c>
      <c r="C21" s="8" t="inlineStr">
        <is>
          <t>Protists</t>
        </is>
      </c>
      <c r="D21" s="8" t="inlineStr">
        <is>
          <t>Discoba</t>
        </is>
      </c>
      <c r="E21" s="36" t="inlineStr">
        <is>
          <t>Heterolobosea</t>
        </is>
      </c>
      <c r="F21" s="8" t="inlineStr">
        <is>
          <t>yes</t>
        </is>
      </c>
    </row>
    <row r="22">
      <c r="A22" s="10" t="inlineStr">
        <is>
          <t>* Streptophyta clade placement pending coauthor confirmation (spans Charophyta + Embryophyta).</t>
        </is>
      </c>
    </row>
  </sheetData>
  <mergeCells count="2">
    <mergeCell ref="A22:F2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2026-08-21T10:45:44Z</dcterms:created>
  <dcterms:modified xsi:type="dcterms:W3CDTF">2026-08-21T10:45:47Z</dcterms:modified>
</cp:coreProperties>
</file>